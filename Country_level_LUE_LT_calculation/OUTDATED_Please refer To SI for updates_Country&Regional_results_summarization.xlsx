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xli9\Downloads\About the solar paper\Country_level_LUE_LT_calculation\Country_level_LUE_LT_calculation\"/>
    </mc:Choice>
  </mc:AlternateContent>
  <xr:revisionPtr revIDLastSave="0" documentId="13_ncr:1_{E5871A3B-F1B6-44BE-B417-B1B944D2DACB}" xr6:coauthVersionLast="47" xr6:coauthVersionMax="47" xr10:uidLastSave="{00000000-0000-0000-0000-000000000000}"/>
  <bookViews>
    <workbookView xWindow="-110" yWindow="-110" windowWidth="38620" windowHeight="11020" xr2:uid="{00000000-000D-0000-FFFF-FFFF00000000}"/>
  </bookViews>
  <sheets>
    <sheet name="Sheet1" sheetId="1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" l="1"/>
  <c r="B16" i="1"/>
  <c r="C15" i="1"/>
  <c r="B15" i="1"/>
  <c r="C14" i="1"/>
  <c r="B14" i="1"/>
  <c r="C12" i="1"/>
  <c r="B12" i="1"/>
  <c r="C6" i="1"/>
  <c r="B6" i="1"/>
  <c r="C4" i="1"/>
  <c r="B4" i="1"/>
</calcChain>
</file>

<file path=xl/sharedStrings.xml><?xml version="1.0" encoding="utf-8"?>
<sst xmlns="http://schemas.openxmlformats.org/spreadsheetml/2006/main" count="588" uniqueCount="340">
  <si>
    <t>Regional results</t>
  </si>
  <si>
    <r>
      <rPr>
        <b/>
        <sz val="11"/>
        <color theme="1"/>
        <rFont val="Times New Roman"/>
        <charset val="134"/>
      </rPr>
      <t>Land use efficiency (W/m</t>
    </r>
    <r>
      <rPr>
        <b/>
        <vertAlign val="superscript"/>
        <sz val="11"/>
        <color theme="1"/>
        <rFont val="Times New Roman"/>
        <charset val="134"/>
      </rPr>
      <t>2</t>
    </r>
    <r>
      <rPr>
        <b/>
        <sz val="11"/>
        <color theme="1"/>
        <rFont val="Times New Roman"/>
        <charset val="134"/>
      </rPr>
      <t>)-
capacity weighted</t>
    </r>
  </si>
  <si>
    <r>
      <rPr>
        <b/>
        <sz val="11"/>
        <color theme="1"/>
        <rFont val="Times New Roman"/>
        <charset val="134"/>
      </rPr>
      <t>Land transformation of 2017 (m</t>
    </r>
    <r>
      <rPr>
        <b/>
        <vertAlign val="superscript"/>
        <sz val="11"/>
        <color theme="1"/>
        <rFont val="Times New Roman"/>
        <charset val="134"/>
      </rPr>
      <t>2</t>
    </r>
    <r>
      <rPr>
        <b/>
        <sz val="11"/>
        <color theme="1"/>
        <rFont val="Times New Roman"/>
        <charset val="134"/>
      </rPr>
      <t>/ MWh)-
generation weighted</t>
    </r>
  </si>
  <si>
    <r>
      <rPr>
        <b/>
        <sz val="11"/>
        <color theme="1"/>
        <rFont val="Times New Roman"/>
        <charset val="134"/>
      </rPr>
      <t>Land transformation for lifetime (m</t>
    </r>
    <r>
      <rPr>
        <b/>
        <vertAlign val="superscript"/>
        <sz val="11"/>
        <color theme="1"/>
        <rFont val="Times New Roman"/>
        <charset val="134"/>
      </rPr>
      <t>2</t>
    </r>
    <r>
      <rPr>
        <b/>
        <sz val="11"/>
        <color theme="1"/>
        <rFont val="Times New Roman"/>
        <charset val="134"/>
      </rPr>
      <t>/MWh/yr)- 
generation weighted</t>
    </r>
  </si>
  <si>
    <t>Country</t>
  </si>
  <si>
    <t>LUE (W/m2)</t>
  </si>
  <si>
    <t>LT(m2/MWh)</t>
  </si>
  <si>
    <t>LT_yr(m2/MWh/yr)</t>
  </si>
  <si>
    <t>LUE_before_groundTruth</t>
  </si>
  <si>
    <r>
      <rPr>
        <b/>
        <sz val="11"/>
        <color rgb="FF000000"/>
        <rFont val="Times New Roman"/>
        <charset val="134"/>
      </rPr>
      <t>Weighted average LT (m</t>
    </r>
    <r>
      <rPr>
        <b/>
        <vertAlign val="superscript"/>
        <sz val="6.5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/ GWh)</t>
    </r>
  </si>
  <si>
    <r>
      <rPr>
        <b/>
        <sz val="11"/>
        <color rgb="FF000000"/>
        <rFont val="Times New Roman"/>
        <charset val="134"/>
      </rPr>
      <t>LT: 25-percentile (m</t>
    </r>
    <r>
      <rPr>
        <b/>
        <vertAlign val="superscript"/>
        <sz val="6.5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/ GWh)</t>
    </r>
  </si>
  <si>
    <r>
      <rPr>
        <b/>
        <sz val="11"/>
        <color rgb="FF000000"/>
        <rFont val="Times New Roman"/>
        <charset val="134"/>
      </rPr>
      <t>LT: 50-percentile (m</t>
    </r>
    <r>
      <rPr>
        <b/>
        <vertAlign val="superscript"/>
        <sz val="6.5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/ GWh)</t>
    </r>
  </si>
  <si>
    <r>
      <rPr>
        <b/>
        <sz val="11"/>
        <color rgb="FF000000"/>
        <rFont val="Times New Roman"/>
        <charset val="134"/>
      </rPr>
      <t>LT: 75-percentile (m</t>
    </r>
    <r>
      <rPr>
        <b/>
        <vertAlign val="superscript"/>
        <sz val="6.5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/ GWh)</t>
    </r>
  </si>
  <si>
    <r>
      <rPr>
        <b/>
        <sz val="11"/>
        <color rgb="FF000000"/>
        <rFont val="Times New Roman"/>
        <charset val="134"/>
      </rPr>
      <t>Standard deviation (m</t>
    </r>
    <r>
      <rPr>
        <b/>
        <vertAlign val="superscript"/>
        <sz val="6.5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/ GWh)</t>
    </r>
  </si>
  <si>
    <t>World</t>
  </si>
  <si>
    <t>AE'</t>
  </si>
  <si>
    <t>AE</t>
  </si>
  <si>
    <t>North America</t>
  </si>
  <si>
    <t>AF'</t>
  </si>
  <si>
    <t>AF</t>
  </si>
  <si>
    <t>US</t>
  </si>
  <si>
    <t>AG'</t>
  </si>
  <si>
    <t>AG</t>
  </si>
  <si>
    <t>Central and south America</t>
  </si>
  <si>
    <t>AL'</t>
  </si>
  <si>
    <t>AL</t>
  </si>
  <si>
    <t>Brazil</t>
  </si>
  <si>
    <t>AM'</t>
  </si>
  <si>
    <t>AM</t>
  </si>
  <si>
    <t>Europe</t>
  </si>
  <si>
    <t>AO'</t>
  </si>
  <si>
    <t>AO</t>
  </si>
  <si>
    <t>EU</t>
  </si>
  <si>
    <t>AR'</t>
  </si>
  <si>
    <t>AR</t>
  </si>
  <si>
    <t>Africa</t>
  </si>
  <si>
    <t>AT'</t>
  </si>
  <si>
    <t>AT</t>
  </si>
  <si>
    <t>Middle east</t>
  </si>
  <si>
    <t>AU'</t>
  </si>
  <si>
    <t>AU</t>
  </si>
  <si>
    <t>Eurasia</t>
  </si>
  <si>
    <t>AW'</t>
  </si>
  <si>
    <t>AW</t>
  </si>
  <si>
    <t>Russia</t>
  </si>
  <si>
    <t>AZ'</t>
  </si>
  <si>
    <t>AZ</t>
  </si>
  <si>
    <t>Asia Pacific</t>
  </si>
  <si>
    <t>BA'</t>
  </si>
  <si>
    <t>BA</t>
  </si>
  <si>
    <t>China</t>
  </si>
  <si>
    <t>BB'</t>
  </si>
  <si>
    <t>BB</t>
  </si>
  <si>
    <t>India</t>
  </si>
  <si>
    <t>BD'</t>
  </si>
  <si>
    <t>BD</t>
  </si>
  <si>
    <t>Japan</t>
  </si>
  <si>
    <t>BE'</t>
  </si>
  <si>
    <t>BE</t>
  </si>
  <si>
    <t>Southeast Asia</t>
  </si>
  <si>
    <t>BF'</t>
  </si>
  <si>
    <t>BF</t>
  </si>
  <si>
    <t>BG'</t>
  </si>
  <si>
    <t>BG</t>
  </si>
  <si>
    <t>BH'</t>
  </si>
  <si>
    <t>BH</t>
  </si>
  <si>
    <t>Regional-extensive-results-for revising figure</t>
  </si>
  <si>
    <t>BI'</t>
  </si>
  <si>
    <t>BI</t>
  </si>
  <si>
    <t>25th/50th/75th/SD</t>
  </si>
  <si>
    <t>BO'</t>
  </si>
  <si>
    <t>BO</t>
  </si>
  <si>
    <t>64.08/49.53/38.37/56.75</t>
  </si>
  <si>
    <t>16.22/8.94/12.04/13.54</t>
  </si>
  <si>
    <t>536.99/300.13/400.48/456.95</t>
  </si>
  <si>
    <t>BR'</t>
  </si>
  <si>
    <t>BR</t>
  </si>
  <si>
    <t>59.70/46.95/36.32/29.07</t>
  </si>
  <si>
    <t>16.08/12.20/9.46/10.25</t>
  </si>
  <si>
    <t>528.52/403.73/314.25/350.48</t>
  </si>
  <si>
    <t>BW'</t>
  </si>
  <si>
    <t>BW</t>
  </si>
  <si>
    <t>BY'</t>
  </si>
  <si>
    <t>BY</t>
  </si>
  <si>
    <t>70.07/49.48/37.79/27.77</t>
  </si>
  <si>
    <t>11.33/8.86/5.94/8.14</t>
  </si>
  <si>
    <t>398.69/300.18/201.06/282.68</t>
  </si>
  <si>
    <t>BZ'</t>
  </si>
  <si>
    <t>BZ</t>
  </si>
  <si>
    <t>CA'</t>
  </si>
  <si>
    <t>CA</t>
  </si>
  <si>
    <t>69.63/51.92/40.64/80.86</t>
  </si>
  <si>
    <t>16.72/12.32/9.23/15.49</t>
  </si>
  <si>
    <t>552.70/414.26/310.15/519.43</t>
  </si>
  <si>
    <t>CG'</t>
  </si>
  <si>
    <t>CG</t>
  </si>
  <si>
    <t>CH'</t>
  </si>
  <si>
    <t>CH</t>
  </si>
  <si>
    <t>74.28/58.50/47.23/23.53</t>
  </si>
  <si>
    <t>11.44/7.37/5.92/5.07</t>
  </si>
  <si>
    <t>387.10/258.37/198.37/165.43</t>
  </si>
  <si>
    <t>CL'</t>
  </si>
  <si>
    <t>CL</t>
  </si>
  <si>
    <t>70.79/58.07/52.30/28.39</t>
  </si>
  <si>
    <t>10.09/9.03/7.12/6.48</t>
  </si>
  <si>
    <t>339.34/309.31/238.03/416.96</t>
  </si>
  <si>
    <t>CN'</t>
  </si>
  <si>
    <t>CN</t>
  </si>
  <si>
    <t>65.57/50.52/39.17/62.89</t>
  </si>
  <si>
    <t>16.41/12.12/8.94/14.62</t>
  </si>
  <si>
    <t>544.86/404.51/299.21/492.25</t>
  </si>
  <si>
    <t>CO'</t>
  </si>
  <si>
    <t>CO</t>
  </si>
  <si>
    <t>CR'</t>
  </si>
  <si>
    <t>CR</t>
  </si>
  <si>
    <t>67.30/54.55/41.27/30.64</t>
  </si>
  <si>
    <t>12.89/9.63/7.45/11.52</t>
  </si>
  <si>
    <t>427.87/318.08/248.51/376.04</t>
  </si>
  <si>
    <t>CU'</t>
  </si>
  <si>
    <t>CU</t>
  </si>
  <si>
    <t>CV'</t>
  </si>
  <si>
    <t>CV</t>
  </si>
  <si>
    <t>CY'</t>
  </si>
  <si>
    <t>CY</t>
  </si>
  <si>
    <t>CZ'</t>
  </si>
  <si>
    <t>CZ</t>
  </si>
  <si>
    <t>DE'</t>
  </si>
  <si>
    <t>DE</t>
  </si>
  <si>
    <t>Region-25th</t>
  </si>
  <si>
    <t>Land Use Efficiency (W/m2) - Capacity Weighted - 25th</t>
  </si>
  <si>
    <t>Land Transformation of 2017 (m2/MWh) - Generation Weighted - 25th</t>
  </si>
  <si>
    <t>Land Transformation for Lifetime (m2/MWh/yr) - Generation Weighted - 25th</t>
  </si>
  <si>
    <t>DK'</t>
  </si>
  <si>
    <t>DK</t>
  </si>
  <si>
    <t>DO'</t>
  </si>
  <si>
    <t>DO</t>
  </si>
  <si>
    <t>DZ'</t>
  </si>
  <si>
    <t>DZ</t>
  </si>
  <si>
    <t>EC'</t>
  </si>
  <si>
    <t>EC</t>
  </si>
  <si>
    <t>EE'</t>
  </si>
  <si>
    <t>EE</t>
  </si>
  <si>
    <t>EG'</t>
  </si>
  <si>
    <t>EG</t>
  </si>
  <si>
    <t>ER'</t>
  </si>
  <si>
    <t>ER</t>
  </si>
  <si>
    <t>ES'</t>
  </si>
  <si>
    <t>ES</t>
  </si>
  <si>
    <t>FR'</t>
  </si>
  <si>
    <t>FR</t>
  </si>
  <si>
    <t>GB'</t>
  </si>
  <si>
    <t>GB</t>
  </si>
  <si>
    <t>GG'</t>
  </si>
  <si>
    <t>GG</t>
  </si>
  <si>
    <t>GH'</t>
  </si>
  <si>
    <t>GH</t>
  </si>
  <si>
    <t>GR'</t>
  </si>
  <si>
    <t>GR</t>
  </si>
  <si>
    <t>Region-50th</t>
  </si>
  <si>
    <t>Land Use Efficiency (W/m2) - Capacity Weighted - 50th</t>
  </si>
  <si>
    <t>Land Transformation of 2017 (m2/MWh) - Generation Weighted - 50th</t>
  </si>
  <si>
    <t>Land Transformation for Lifetime (m2/MWh/yr) - Generation Weighted - 50th</t>
  </si>
  <si>
    <t>GT'</t>
  </si>
  <si>
    <t>GT</t>
  </si>
  <si>
    <t>GU'</t>
  </si>
  <si>
    <t>GU</t>
  </si>
  <si>
    <t>HN'</t>
  </si>
  <si>
    <t>HN</t>
  </si>
  <si>
    <t>HR'</t>
  </si>
  <si>
    <t>HR</t>
  </si>
  <si>
    <t>HU'</t>
  </si>
  <si>
    <t>HU</t>
  </si>
  <si>
    <t>ID'</t>
  </si>
  <si>
    <t>ID</t>
  </si>
  <si>
    <t>IL'</t>
  </si>
  <si>
    <t>IL</t>
  </si>
  <si>
    <t>IN'</t>
  </si>
  <si>
    <t>IN</t>
  </si>
  <si>
    <t>IQ'</t>
  </si>
  <si>
    <t>IQ</t>
  </si>
  <si>
    <t>IR'</t>
  </si>
  <si>
    <t>IR</t>
  </si>
  <si>
    <t>IT'</t>
  </si>
  <si>
    <t>IT</t>
  </si>
  <si>
    <t>JM'</t>
  </si>
  <si>
    <t>JM</t>
  </si>
  <si>
    <t>JO'</t>
  </si>
  <si>
    <t>JO</t>
  </si>
  <si>
    <t>Region-75th</t>
  </si>
  <si>
    <t>Land Use Efficiency (W/m2) - Capacity Weighted - 75th</t>
  </si>
  <si>
    <t>Land Transformation of 2017 (m2/MWh) - Generation Weighted - 75th</t>
  </si>
  <si>
    <t>Land Transformation for Lifetime (m2/MWh/yr) - Generation Weighted - 75th</t>
  </si>
  <si>
    <t>JP'</t>
  </si>
  <si>
    <t>JP</t>
  </si>
  <si>
    <t>KE'</t>
  </si>
  <si>
    <t>KE</t>
  </si>
  <si>
    <t>KH'</t>
  </si>
  <si>
    <t>KH</t>
  </si>
  <si>
    <t>KR'</t>
  </si>
  <si>
    <t>KR</t>
  </si>
  <si>
    <t>KW'</t>
  </si>
  <si>
    <t>KW</t>
  </si>
  <si>
    <t>KZ'</t>
  </si>
  <si>
    <t>KZ</t>
  </si>
  <si>
    <t>LA'</t>
  </si>
  <si>
    <t>LA</t>
  </si>
  <si>
    <t>LC'</t>
  </si>
  <si>
    <t>LC</t>
  </si>
  <si>
    <t>LK'</t>
  </si>
  <si>
    <t>LK</t>
  </si>
  <si>
    <t>LT'</t>
  </si>
  <si>
    <t>LT</t>
  </si>
  <si>
    <t>LU'</t>
  </si>
  <si>
    <t>LU</t>
  </si>
  <si>
    <t>MA'</t>
  </si>
  <si>
    <t>MA</t>
  </si>
  <si>
    <t>MD'</t>
  </si>
  <si>
    <t>MD</t>
  </si>
  <si>
    <t>MG'</t>
  </si>
  <si>
    <t>MG</t>
  </si>
  <si>
    <t>Region</t>
  </si>
  <si>
    <t>Land Use Efficiency (W/m2) - Capacity Weighted - SD</t>
  </si>
  <si>
    <t>Land Transformation of 2017 (m2/MWh) - Generation Weighted - SD</t>
  </si>
  <si>
    <t>Land Transformation for Lifetime (m2/MWh/yr) - Generation Weighted - SD</t>
  </si>
  <si>
    <t>MK'</t>
  </si>
  <si>
    <t>MK</t>
  </si>
  <si>
    <t>ML'</t>
  </si>
  <si>
    <t>ML</t>
  </si>
  <si>
    <t>MM'</t>
  </si>
  <si>
    <t>MM</t>
  </si>
  <si>
    <t>MN'</t>
  </si>
  <si>
    <t>MN</t>
  </si>
  <si>
    <t>MR'</t>
  </si>
  <si>
    <t>MR</t>
  </si>
  <si>
    <t>MU'</t>
  </si>
  <si>
    <t>MU</t>
  </si>
  <si>
    <t>MX'</t>
  </si>
  <si>
    <t>MX</t>
  </si>
  <si>
    <t>MY'</t>
  </si>
  <si>
    <t>MY</t>
  </si>
  <si>
    <t>NA'</t>
  </si>
  <si>
    <t>NA</t>
  </si>
  <si>
    <t>NC'</t>
  </si>
  <si>
    <t>NC</t>
  </si>
  <si>
    <t>NE'</t>
  </si>
  <si>
    <t>NE</t>
  </si>
  <si>
    <t>NG'</t>
  </si>
  <si>
    <t>NG</t>
  </si>
  <si>
    <t>NI'</t>
  </si>
  <si>
    <t>NI</t>
  </si>
  <si>
    <t>NL'</t>
  </si>
  <si>
    <t>NL</t>
  </si>
  <si>
    <t>OM'</t>
  </si>
  <si>
    <t>OM</t>
  </si>
  <si>
    <t>PA'</t>
  </si>
  <si>
    <t>PA</t>
  </si>
  <si>
    <t>PE'</t>
  </si>
  <si>
    <t>PE</t>
  </si>
  <si>
    <t>PH'</t>
  </si>
  <si>
    <t>PH</t>
  </si>
  <si>
    <t>PK'</t>
  </si>
  <si>
    <t>PK</t>
  </si>
  <si>
    <t>PL'</t>
  </si>
  <si>
    <t>PL</t>
  </si>
  <si>
    <t>PR'</t>
  </si>
  <si>
    <t>PR</t>
  </si>
  <si>
    <t>PS'</t>
  </si>
  <si>
    <t>PS</t>
  </si>
  <si>
    <t>PT'</t>
  </si>
  <si>
    <t>PT</t>
  </si>
  <si>
    <t>QA'</t>
  </si>
  <si>
    <t>QA</t>
  </si>
  <si>
    <t>RO'</t>
  </si>
  <si>
    <t>RO</t>
  </si>
  <si>
    <t>RS'</t>
  </si>
  <si>
    <t>RS</t>
  </si>
  <si>
    <t>RU'</t>
  </si>
  <si>
    <t>RU</t>
  </si>
  <si>
    <t>RW'</t>
  </si>
  <si>
    <t>RW</t>
  </si>
  <si>
    <t>SA'</t>
  </si>
  <si>
    <t>SA</t>
  </si>
  <si>
    <t>SD'</t>
  </si>
  <si>
    <t>SD</t>
  </si>
  <si>
    <t>SE'</t>
  </si>
  <si>
    <t>SE</t>
  </si>
  <si>
    <t>SI'</t>
  </si>
  <si>
    <t>SI</t>
  </si>
  <si>
    <t>SK'</t>
  </si>
  <si>
    <t>SK</t>
  </si>
  <si>
    <t>SN'</t>
  </si>
  <si>
    <t>SN</t>
  </si>
  <si>
    <t>SO'</t>
  </si>
  <si>
    <t>SO</t>
  </si>
  <si>
    <t>SR'</t>
  </si>
  <si>
    <t>SR</t>
  </si>
  <si>
    <t>SV'</t>
  </si>
  <si>
    <t>SV</t>
  </si>
  <si>
    <t>SY'</t>
  </si>
  <si>
    <t>SY</t>
  </si>
  <si>
    <t>TH'</t>
  </si>
  <si>
    <t>TH</t>
  </si>
  <si>
    <t>TN'</t>
  </si>
  <si>
    <t>TN</t>
  </si>
  <si>
    <t>TR'</t>
  </si>
  <si>
    <t>TR</t>
  </si>
  <si>
    <t>TW'</t>
  </si>
  <si>
    <t>TW</t>
  </si>
  <si>
    <t>UA'</t>
  </si>
  <si>
    <t>UA</t>
  </si>
  <si>
    <t>UG'</t>
  </si>
  <si>
    <t>UG</t>
  </si>
  <si>
    <t>US'</t>
  </si>
  <si>
    <t>UY'</t>
  </si>
  <si>
    <t>UY</t>
  </si>
  <si>
    <t>UZ'</t>
  </si>
  <si>
    <t>UZ</t>
  </si>
  <si>
    <t>VI'</t>
  </si>
  <si>
    <t>VI</t>
  </si>
  <si>
    <t>VN'</t>
  </si>
  <si>
    <t>VN</t>
  </si>
  <si>
    <t>WS'</t>
  </si>
  <si>
    <t>WS</t>
  </si>
  <si>
    <t>XK'</t>
  </si>
  <si>
    <t>XK</t>
  </si>
  <si>
    <t>YE'</t>
  </si>
  <si>
    <t>YE</t>
  </si>
  <si>
    <t>ZA'</t>
  </si>
  <si>
    <t>ZA</t>
  </si>
  <si>
    <t>ZW'</t>
  </si>
  <si>
    <t>ZW</t>
  </si>
  <si>
    <t>&lt;undefined&gt;'</t>
  </si>
  <si>
    <t>&lt;undefined&gt;</t>
  </si>
  <si>
    <t>Weighted average LT (m2/ GWh)</t>
  </si>
  <si>
    <t>LT: 25-percentile (m2/ GWh)</t>
  </si>
  <si>
    <t>LT: 50-percentile (m2/ GWh)</t>
  </si>
  <si>
    <t>LT: 75-percentile (m2/ GWh)</t>
  </si>
  <si>
    <t>Standard deviation (m2/ GWh)</t>
  </si>
  <si>
    <t>Weighted average LUE</t>
  </si>
  <si>
    <t>Weighted average LT_A (m2/ 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</si>
</sst>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_ "/>
  </numFmts>
  <fonts count="1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FF0000"/>
      <name val="Calibri"/>
      <charset val="134"/>
      <scheme val="minor"/>
    </font>
    <font>
      <sz val="11"/>
      <color rgb="FFFF0000"/>
      <name val="Times New Roman"/>
      <charset val="134"/>
    </font>
    <font>
      <sz val="1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rgb="FFFF0000"/>
      <name val="Times New Roman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  <scheme val="minor"/>
    </font>
    <font>
      <sz val="10"/>
      <color theme="1"/>
      <name val="Consolas"/>
      <charset val="134"/>
    </font>
    <font>
      <b/>
      <vertAlign val="superscript"/>
      <sz val="11"/>
      <color theme="1"/>
      <name val="Times New Roman"/>
      <charset val="134"/>
    </font>
    <font>
      <b/>
      <vertAlign val="superscript"/>
      <sz val="6.5"/>
      <color rgb="FF000000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165" fontId="5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6" fillId="0" borderId="1" xfId="0" applyFont="1" applyFill="1" applyBorder="1" applyAlignment="1"/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65" fontId="1" fillId="0" borderId="1" xfId="0" applyNumberFormat="1" applyFont="1" applyBorder="1">
      <alignment vertical="center"/>
    </xf>
    <xf numFmtId="165" fontId="4" fillId="0" borderId="0" xfId="0" applyNumberFormat="1" applyFont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Fill="1" applyBorder="1" applyAlignment="1">
      <alignment horizontal="left" vertical="center"/>
    </xf>
    <xf numFmtId="165" fontId="1" fillId="0" borderId="1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7" fillId="0" borderId="0" xfId="0" applyFont="1">
      <alignment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vertical="center" wrapText="1"/>
    </xf>
    <xf numFmtId="0" fontId="9" fillId="0" borderId="1" xfId="0" applyFont="1" applyFill="1" applyBorder="1" applyAlignment="1"/>
    <xf numFmtId="0" fontId="8" fillId="0" borderId="1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0" fontId="7" fillId="2" borderId="0" xfId="0" applyFont="1" applyFill="1">
      <alignment vertical="center"/>
    </xf>
    <xf numFmtId="0" fontId="0" fillId="0" borderId="0" xfId="0" applyFill="1" applyAlignment="1">
      <alignment vertical="center"/>
    </xf>
    <xf numFmtId="0" fontId="6" fillId="3" borderId="1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0" fontId="6" fillId="0" borderId="0" xfId="0" applyFont="1" applyFill="1" applyAlignment="1"/>
    <xf numFmtId="0" fontId="11" fillId="0" borderId="0" xfId="0" applyFont="1" applyAlignment="1">
      <alignment horizontal="left" vertical="center" indent="1"/>
    </xf>
    <xf numFmtId="0" fontId="9" fillId="3" borderId="1" xfId="0" applyFont="1" applyFill="1" applyBorder="1" applyAlignment="1"/>
    <xf numFmtId="0" fontId="4" fillId="4" borderId="0" xfId="0" applyFont="1" applyFill="1">
      <alignment vertical="center"/>
    </xf>
    <xf numFmtId="1" fontId="4" fillId="0" borderId="0" xfId="0" applyNumberFormat="1" applyFont="1" applyFill="1" applyAlignment="1">
      <alignment horizontal="center" vertical="center"/>
    </xf>
    <xf numFmtId="0" fontId="6" fillId="2" borderId="0" xfId="0" applyFont="1" applyFill="1" applyAlignment="1"/>
    <xf numFmtId="1" fontId="4" fillId="2" borderId="0" xfId="0" applyNumberFormat="1" applyFont="1" applyFill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0" xfId="0" quotePrefix="1" applyFill="1" applyBorder="1" applyAlignment="1">
      <alignment horizontal="center" vertical="center"/>
    </xf>
    <xf numFmtId="165" fontId="1" fillId="0" borderId="1" xfId="0" quotePrefix="1" applyNumberFormat="1" applyFont="1" applyBorder="1">
      <alignment vertical="center"/>
    </xf>
    <xf numFmtId="0" fontId="0" fillId="3" borderId="1" xfId="0" quotePrefix="1" applyFill="1" applyBorder="1">
      <alignment vertical="center"/>
    </xf>
    <xf numFmtId="165" fontId="1" fillId="0" borderId="1" xfId="0" quotePrefix="1" applyNumberFormat="1" applyFont="1" applyFill="1" applyBorder="1">
      <alignment vertical="center"/>
    </xf>
    <xf numFmtId="0" fontId="4" fillId="0" borderId="1" xfId="0" quotePrefix="1" applyFont="1" applyBorder="1">
      <alignment vertical="center"/>
    </xf>
    <xf numFmtId="0" fontId="4" fillId="0" borderId="0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>
      <alignment vertical="center"/>
    </xf>
    <xf numFmtId="0" fontId="6" fillId="0" borderId="1" xfId="0" quotePrefix="1" applyNumberFormat="1" applyFont="1" applyFill="1" applyBorder="1" applyAlignment="1"/>
    <xf numFmtId="0" fontId="6" fillId="3" borderId="1" xfId="0" quotePrefix="1" applyNumberFormat="1" applyFont="1" applyFill="1" applyBorder="1" applyAlignment="1"/>
    <xf numFmtId="0" fontId="9" fillId="0" borderId="1" xfId="0" quotePrefix="1" applyNumberFormat="1" applyFont="1" applyFill="1" applyBorder="1" applyAlignment="1"/>
    <xf numFmtId="0" fontId="9" fillId="3" borderId="1" xfId="0" quotePrefix="1" applyNumberFormat="1" applyFont="1" applyFill="1" applyBorder="1" applyAlignment="1"/>
    <xf numFmtId="0" fontId="6" fillId="2" borderId="1" xfId="0" quotePrefix="1" applyNumberFormat="1" applyFont="1" applyFill="1" applyBorder="1" applyAlignment="1"/>
    <xf numFmtId="0" fontId="9" fillId="2" borderId="1" xfId="0" quotePrefix="1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3"/>
  <sheetViews>
    <sheetView tabSelected="1" zoomScale="95" zoomScaleNormal="95" workbookViewId="0">
      <selection activeCell="V12" sqref="V12"/>
    </sheetView>
  </sheetViews>
  <sheetFormatPr defaultColWidth="9" defaultRowHeight="14.5"/>
  <cols>
    <col min="1" max="1" width="22.81640625" customWidth="1"/>
    <col min="2" max="2" width="25" customWidth="1"/>
    <col min="3" max="3" width="36.81640625" customWidth="1"/>
    <col min="4" max="4" width="42.1796875" customWidth="1"/>
    <col min="6" max="6" width="9" style="5"/>
    <col min="7" max="7" width="12.90625" style="5"/>
    <col min="8" max="8" width="11.90625" style="5" customWidth="1"/>
    <col min="9" max="9" width="15.1796875" style="6" customWidth="1"/>
    <col min="11" max="11" width="42.1796875" customWidth="1"/>
    <col min="12" max="12" width="12.90625"/>
    <col min="13" max="13" width="25.453125" style="7" customWidth="1"/>
    <col min="14" max="14" width="34.453125" customWidth="1"/>
    <col min="15" max="15" width="9" style="8"/>
    <col min="16" max="16" width="9" style="9"/>
    <col min="17" max="19" width="12.90625" style="9"/>
    <col min="20" max="20" width="12.90625" style="1"/>
  </cols>
  <sheetData>
    <row r="1" spans="1:20" ht="56">
      <c r="A1" s="10" t="s">
        <v>0</v>
      </c>
      <c r="B1" s="11" t="s">
        <v>1</v>
      </c>
      <c r="C1" s="11" t="s">
        <v>2</v>
      </c>
      <c r="D1" s="11" t="s">
        <v>3</v>
      </c>
      <c r="F1" s="5" t="s">
        <v>4</v>
      </c>
      <c r="G1" s="5" t="s">
        <v>5</v>
      </c>
      <c r="H1" s="5" t="s">
        <v>6</v>
      </c>
      <c r="I1" s="6" t="s">
        <v>7</v>
      </c>
      <c r="M1" s="7" t="s">
        <v>8</v>
      </c>
      <c r="O1" s="34" t="s">
        <v>4</v>
      </c>
      <c r="P1" s="35" t="s">
        <v>9</v>
      </c>
      <c r="Q1" s="35" t="s">
        <v>10</v>
      </c>
      <c r="R1" s="35" t="s">
        <v>11</v>
      </c>
      <c r="S1" s="35" t="s">
        <v>12</v>
      </c>
      <c r="T1" s="43" t="s">
        <v>13</v>
      </c>
    </row>
    <row r="2" spans="1:20">
      <c r="A2" s="12" t="s">
        <v>14</v>
      </c>
      <c r="B2" s="13">
        <v>56.7515</v>
      </c>
      <c r="C2" s="13">
        <v>12.069000000000001</v>
      </c>
      <c r="D2" s="14">
        <v>367.69499999999999</v>
      </c>
      <c r="F2" s="46" t="s">
        <v>15</v>
      </c>
      <c r="G2" s="54">
        <v>45.781893129387498</v>
      </c>
      <c r="H2" s="54">
        <v>10.1831417958565</v>
      </c>
      <c r="I2" s="55">
        <v>339.08266765844797</v>
      </c>
      <c r="J2" s="36"/>
      <c r="M2" s="7">
        <v>94.683643534825293</v>
      </c>
      <c r="O2" s="47" t="s">
        <v>16</v>
      </c>
      <c r="P2" s="9">
        <v>339.08266765844797</v>
      </c>
      <c r="Q2" s="9">
        <v>277.26650860644497</v>
      </c>
      <c r="R2" s="9">
        <v>325.16753384907702</v>
      </c>
      <c r="S2" s="9">
        <v>404.37761016279302</v>
      </c>
      <c r="T2" s="1">
        <v>85.593313251788302</v>
      </c>
    </row>
    <row r="3" spans="1:20">
      <c r="A3" s="16" t="s">
        <v>17</v>
      </c>
      <c r="B3" s="13">
        <v>49.415199999999999</v>
      </c>
      <c r="C3" s="13">
        <v>12.5906</v>
      </c>
      <c r="D3" s="14">
        <v>391.93200000000002</v>
      </c>
      <c r="F3" s="46" t="s">
        <v>18</v>
      </c>
      <c r="G3" s="15">
        <v>0</v>
      </c>
      <c r="H3" s="15">
        <v>0</v>
      </c>
      <c r="I3" s="33">
        <v>0</v>
      </c>
      <c r="J3" s="36"/>
      <c r="M3" s="7">
        <v>0</v>
      </c>
      <c r="O3" s="47" t="s">
        <v>19</v>
      </c>
    </row>
    <row r="4" spans="1:20">
      <c r="A4" s="17" t="s">
        <v>20</v>
      </c>
      <c r="B4" s="48">
        <f>G122</f>
        <v>50.009182351796397</v>
      </c>
      <c r="C4" s="48">
        <f>H122</f>
        <v>13.591696447803701</v>
      </c>
      <c r="D4" s="18">
        <v>392.03479993749897</v>
      </c>
      <c r="F4" s="46" t="s">
        <v>21</v>
      </c>
      <c r="G4" s="15">
        <v>0</v>
      </c>
      <c r="H4" s="15">
        <v>0</v>
      </c>
      <c r="I4" s="33">
        <v>0</v>
      </c>
      <c r="J4" s="36"/>
      <c r="M4" s="7">
        <v>0</v>
      </c>
      <c r="O4" s="47" t="s">
        <v>22</v>
      </c>
    </row>
    <row r="5" spans="1:20">
      <c r="A5" s="16" t="s">
        <v>23</v>
      </c>
      <c r="B5" s="13">
        <v>71.551199999999994</v>
      </c>
      <c r="C5" s="13">
        <v>7.6253000000000002</v>
      </c>
      <c r="D5" s="14">
        <v>238.98</v>
      </c>
      <c r="F5" s="49" t="s">
        <v>24</v>
      </c>
      <c r="G5" s="15">
        <v>0</v>
      </c>
      <c r="H5" s="15">
        <v>0</v>
      </c>
      <c r="I5" s="33">
        <v>0</v>
      </c>
      <c r="J5" s="36"/>
      <c r="M5" s="7">
        <v>0</v>
      </c>
      <c r="O5" s="47" t="s">
        <v>25</v>
      </c>
    </row>
    <row r="6" spans="1:20">
      <c r="A6" s="17" t="s">
        <v>26</v>
      </c>
      <c r="B6" s="48">
        <f>G22</f>
        <v>37.728653656056899</v>
      </c>
      <c r="C6" s="48">
        <f>H22</f>
        <v>11.198274045859</v>
      </c>
      <c r="D6" s="18">
        <v>308.76895108702502</v>
      </c>
      <c r="F6" s="46" t="s">
        <v>27</v>
      </c>
      <c r="G6" s="15">
        <v>0</v>
      </c>
      <c r="H6" s="15">
        <v>0</v>
      </c>
      <c r="I6" s="33">
        <v>0</v>
      </c>
      <c r="J6" s="36"/>
      <c r="M6" s="7">
        <v>0</v>
      </c>
      <c r="O6" s="47" t="s">
        <v>28</v>
      </c>
    </row>
    <row r="7" spans="1:20">
      <c r="A7" s="12" t="s">
        <v>29</v>
      </c>
      <c r="B7" s="19">
        <v>66.807199999999995</v>
      </c>
      <c r="C7" s="13">
        <v>11.955399999999999</v>
      </c>
      <c r="D7" s="14">
        <v>361.14299999999997</v>
      </c>
      <c r="F7" s="46" t="s">
        <v>30</v>
      </c>
      <c r="G7" s="15">
        <v>0</v>
      </c>
      <c r="H7" s="15">
        <v>0</v>
      </c>
      <c r="I7" s="33">
        <v>0</v>
      </c>
      <c r="J7" s="36"/>
      <c r="M7" s="7">
        <v>0</v>
      </c>
      <c r="O7" s="47" t="s">
        <v>31</v>
      </c>
    </row>
    <row r="8" spans="1:20">
      <c r="A8" s="17" t="s">
        <v>32</v>
      </c>
      <c r="B8" s="20">
        <v>65.575299999999999</v>
      </c>
      <c r="C8" s="18">
        <v>11.9557</v>
      </c>
      <c r="D8" s="20">
        <v>361.30200000000002</v>
      </c>
      <c r="F8" s="46" t="s">
        <v>33</v>
      </c>
      <c r="G8" s="54">
        <v>28.174577745254101</v>
      </c>
      <c r="H8" s="54">
        <v>29.380863465316999</v>
      </c>
      <c r="I8" s="55">
        <v>1018.0107554695199</v>
      </c>
      <c r="J8" s="36"/>
      <c r="M8" s="7">
        <v>43.985359986081299</v>
      </c>
      <c r="O8" s="47" t="s">
        <v>34</v>
      </c>
      <c r="P8" s="9">
        <v>1018.0107554695199</v>
      </c>
      <c r="Q8" s="9">
        <v>278.47152117224198</v>
      </c>
      <c r="R8" s="9">
        <v>1018.0107554695199</v>
      </c>
      <c r="S8" s="9">
        <v>1757.5499897668001</v>
      </c>
      <c r="T8" s="1">
        <v>1045.86641505022</v>
      </c>
    </row>
    <row r="9" spans="1:20">
      <c r="A9" s="12" t="s">
        <v>35</v>
      </c>
      <c r="B9" s="13">
        <v>66.394599999999997</v>
      </c>
      <c r="C9" s="13">
        <v>8.0863999999999994</v>
      </c>
      <c r="D9" s="20">
        <v>259.18200000000002</v>
      </c>
      <c r="F9" s="49" t="s">
        <v>36</v>
      </c>
      <c r="G9" s="54">
        <v>35.404111302774403</v>
      </c>
      <c r="H9" s="54">
        <v>20.633747145129899</v>
      </c>
      <c r="I9" s="55">
        <v>668.68625007365301</v>
      </c>
      <c r="J9" s="36"/>
      <c r="M9" s="7">
        <v>35.404111302774403</v>
      </c>
      <c r="O9" s="47" t="s">
        <v>37</v>
      </c>
      <c r="P9" s="9">
        <v>668.68625007365301</v>
      </c>
      <c r="Q9" s="9">
        <v>668.68625007365301</v>
      </c>
      <c r="R9" s="9">
        <v>668.68625007365301</v>
      </c>
      <c r="S9" s="9">
        <v>668.68625007365301</v>
      </c>
      <c r="T9" s="1">
        <v>0</v>
      </c>
    </row>
    <row r="10" spans="1:20">
      <c r="A10" s="12" t="s">
        <v>38</v>
      </c>
      <c r="B10" s="13">
        <v>51.460700000000003</v>
      </c>
      <c r="C10" s="13">
        <v>11.060499999999999</v>
      </c>
      <c r="D10" s="20">
        <v>345.82799999999997</v>
      </c>
      <c r="F10" s="46" t="s">
        <v>39</v>
      </c>
      <c r="G10" s="54">
        <v>57.378690313714998</v>
      </c>
      <c r="H10" s="54">
        <v>11.6214578612518</v>
      </c>
      <c r="I10" s="55">
        <v>390.277234849531</v>
      </c>
      <c r="J10" s="36"/>
      <c r="M10" s="7">
        <v>54.606592221461</v>
      </c>
      <c r="O10" s="47" t="s">
        <v>40</v>
      </c>
      <c r="P10" s="9">
        <v>390.277234849531</v>
      </c>
      <c r="Q10" s="9">
        <v>218.656944551435</v>
      </c>
      <c r="R10" s="9">
        <v>278.99377072526198</v>
      </c>
      <c r="S10" s="9">
        <v>384.20779413935799</v>
      </c>
      <c r="T10" s="1">
        <v>396.81584340452201</v>
      </c>
    </row>
    <row r="11" spans="1:20">
      <c r="A11" s="12" t="s">
        <v>41</v>
      </c>
      <c r="B11" s="13">
        <v>57.369900000000001</v>
      </c>
      <c r="C11" s="13">
        <v>12.3468</v>
      </c>
      <c r="D11" s="20">
        <v>373.608</v>
      </c>
      <c r="F11" s="46" t="s">
        <v>42</v>
      </c>
      <c r="G11" s="15">
        <v>0</v>
      </c>
      <c r="H11" s="15">
        <v>0</v>
      </c>
      <c r="I11" s="33">
        <v>0</v>
      </c>
      <c r="J11" s="36"/>
      <c r="M11" s="7">
        <v>0</v>
      </c>
      <c r="O11" s="47" t="s">
        <v>43</v>
      </c>
    </row>
    <row r="12" spans="1:20">
      <c r="A12" s="17" t="s">
        <v>44</v>
      </c>
      <c r="B12" s="48">
        <f>G104</f>
        <v>58.473804013092597</v>
      </c>
      <c r="C12" s="48">
        <f>H104</f>
        <v>12.821529583646999</v>
      </c>
      <c r="D12" s="20">
        <v>291.25346040033003</v>
      </c>
      <c r="F12" s="46" t="s">
        <v>45</v>
      </c>
      <c r="G12" s="15">
        <v>0</v>
      </c>
      <c r="H12" s="15">
        <v>0</v>
      </c>
      <c r="I12" s="33">
        <v>0</v>
      </c>
      <c r="J12" s="36"/>
      <c r="M12" s="7">
        <v>0</v>
      </c>
      <c r="O12" s="47" t="s">
        <v>46</v>
      </c>
    </row>
    <row r="13" spans="1:20">
      <c r="A13" s="12" t="s">
        <v>47</v>
      </c>
      <c r="B13" s="21">
        <v>65.069299999999998</v>
      </c>
      <c r="C13" s="13">
        <v>9.6130999999999993</v>
      </c>
      <c r="D13" s="14">
        <v>290.51100000000002</v>
      </c>
      <c r="F13" s="49" t="s">
        <v>48</v>
      </c>
      <c r="G13" s="15">
        <v>0</v>
      </c>
      <c r="H13" s="15">
        <v>0</v>
      </c>
      <c r="I13" s="33">
        <v>0</v>
      </c>
      <c r="J13" s="36"/>
      <c r="M13" s="7">
        <v>0</v>
      </c>
      <c r="O13" s="47" t="s">
        <v>49</v>
      </c>
    </row>
    <row r="14" spans="1:20">
      <c r="A14" s="17" t="s">
        <v>50</v>
      </c>
      <c r="B14" s="48">
        <f>G30</f>
        <v>45.053870411975304</v>
      </c>
      <c r="C14" s="48">
        <f>H30</f>
        <v>17.050140954024101</v>
      </c>
      <c r="D14" s="18">
        <v>425.987423045019</v>
      </c>
      <c r="F14" s="46" t="s">
        <v>51</v>
      </c>
      <c r="G14" s="15">
        <v>0</v>
      </c>
      <c r="H14" s="15">
        <v>0</v>
      </c>
      <c r="I14" s="33">
        <v>0</v>
      </c>
      <c r="J14" s="36"/>
      <c r="M14" s="7">
        <v>0</v>
      </c>
      <c r="O14" s="47" t="s">
        <v>52</v>
      </c>
    </row>
    <row r="15" spans="1:20">
      <c r="A15" s="17" t="s">
        <v>53</v>
      </c>
      <c r="B15" s="48">
        <f>G58</f>
        <v>56.243077487950998</v>
      </c>
      <c r="C15" s="48">
        <f>H58</f>
        <v>11.1129752307918</v>
      </c>
      <c r="D15" s="18">
        <v>265.83901657371001</v>
      </c>
      <c r="F15" s="46" t="s">
        <v>54</v>
      </c>
      <c r="G15" s="15">
        <v>0</v>
      </c>
      <c r="H15" s="15">
        <v>0</v>
      </c>
      <c r="I15" s="33">
        <v>0</v>
      </c>
      <c r="J15" s="36"/>
      <c r="M15" s="7">
        <v>0</v>
      </c>
      <c r="O15" s="47" t="s">
        <v>55</v>
      </c>
    </row>
    <row r="16" spans="1:20">
      <c r="A16" s="17" t="s">
        <v>56</v>
      </c>
      <c r="B16" s="50">
        <f>G64</f>
        <v>59.5913787567873</v>
      </c>
      <c r="C16" s="50">
        <f>H64</f>
        <v>15.2810330066345</v>
      </c>
      <c r="D16" s="22">
        <v>355.536217940163</v>
      </c>
      <c r="F16" s="49" t="s">
        <v>57</v>
      </c>
      <c r="G16" s="15">
        <v>0</v>
      </c>
      <c r="H16" s="15">
        <v>0</v>
      </c>
      <c r="I16" s="33">
        <v>0</v>
      </c>
      <c r="J16" s="36"/>
      <c r="M16" s="7">
        <v>0</v>
      </c>
      <c r="O16" s="47" t="s">
        <v>58</v>
      </c>
    </row>
    <row r="17" spans="1:20">
      <c r="A17" s="17" t="s">
        <v>59</v>
      </c>
      <c r="B17" s="18">
        <v>59.008800000000001</v>
      </c>
      <c r="C17" s="18">
        <v>12.617800000000001</v>
      </c>
      <c r="D17" s="18">
        <v>371.78100000000001</v>
      </c>
      <c r="F17" s="46" t="s">
        <v>60</v>
      </c>
      <c r="G17" s="54">
        <v>60.111776467409697</v>
      </c>
      <c r="H17" s="54">
        <v>8.0815146126159298</v>
      </c>
      <c r="I17" s="55">
        <v>240.50735905641901</v>
      </c>
      <c r="J17" s="36"/>
      <c r="M17" s="7">
        <v>60.111776467409697</v>
      </c>
      <c r="O17" s="47" t="s">
        <v>61</v>
      </c>
      <c r="P17" s="9">
        <v>240.50735905641901</v>
      </c>
      <c r="Q17" s="9">
        <v>240.50735905641901</v>
      </c>
      <c r="R17" s="9">
        <v>240.50735905641901</v>
      </c>
      <c r="S17" s="9">
        <v>240.50735905641901</v>
      </c>
      <c r="T17" s="1">
        <v>0</v>
      </c>
    </row>
    <row r="18" spans="1:20">
      <c r="F18" s="49" t="s">
        <v>62</v>
      </c>
      <c r="G18" s="54">
        <v>52.023833401553297</v>
      </c>
      <c r="H18" s="54">
        <v>13.029532662718999</v>
      </c>
      <c r="I18" s="55">
        <v>437.40688635734398</v>
      </c>
      <c r="J18" s="36"/>
      <c r="M18" s="7">
        <v>76.104115654653697</v>
      </c>
      <c r="O18" s="47" t="s">
        <v>63</v>
      </c>
      <c r="P18" s="9">
        <v>437.40688635734398</v>
      </c>
      <c r="Q18" s="9">
        <v>375.15862777250402</v>
      </c>
      <c r="R18" s="9">
        <v>402.69300154344</v>
      </c>
      <c r="S18" s="9">
        <v>498.15357270926</v>
      </c>
      <c r="T18" s="1">
        <v>116.912006975422</v>
      </c>
    </row>
    <row r="19" spans="1:20">
      <c r="F19" s="46" t="s">
        <v>64</v>
      </c>
      <c r="G19" s="15">
        <v>0</v>
      </c>
      <c r="H19" s="15">
        <v>0</v>
      </c>
      <c r="I19" s="33">
        <v>0</v>
      </c>
      <c r="J19" s="36"/>
      <c r="K19" s="37"/>
      <c r="M19" s="7">
        <v>0</v>
      </c>
      <c r="O19" s="47" t="s">
        <v>65</v>
      </c>
    </row>
    <row r="20" spans="1:20">
      <c r="A20" s="23" t="s">
        <v>66</v>
      </c>
      <c r="B20" s="23"/>
      <c r="C20" s="23"/>
      <c r="D20" s="2"/>
      <c r="F20" s="46" t="s">
        <v>67</v>
      </c>
      <c r="G20" s="15">
        <v>0</v>
      </c>
      <c r="H20" s="15">
        <v>0</v>
      </c>
      <c r="I20" s="33">
        <v>0</v>
      </c>
      <c r="J20" s="36"/>
      <c r="K20" s="37"/>
      <c r="M20" s="7">
        <v>0</v>
      </c>
      <c r="O20" s="47" t="s">
        <v>68</v>
      </c>
    </row>
    <row r="21" spans="1:20" ht="30.5">
      <c r="A21" s="24" t="s">
        <v>69</v>
      </c>
      <c r="B21" s="11" t="s">
        <v>1</v>
      </c>
      <c r="C21" s="11" t="s">
        <v>2</v>
      </c>
      <c r="D21" s="11" t="s">
        <v>3</v>
      </c>
      <c r="F21" s="46" t="s">
        <v>70</v>
      </c>
      <c r="G21" s="15">
        <v>0</v>
      </c>
      <c r="H21" s="15">
        <v>0</v>
      </c>
      <c r="I21" s="33">
        <v>0</v>
      </c>
      <c r="J21" s="36"/>
      <c r="M21" s="7">
        <v>0</v>
      </c>
      <c r="O21" s="47" t="s">
        <v>71</v>
      </c>
    </row>
    <row r="22" spans="1:20" s="2" customFormat="1">
      <c r="A22" s="25" t="s">
        <v>14</v>
      </c>
      <c r="B22" s="24" t="s">
        <v>72</v>
      </c>
      <c r="C22" s="24" t="s">
        <v>73</v>
      </c>
      <c r="D22" s="26" t="s">
        <v>74</v>
      </c>
      <c r="F22" s="51" t="s">
        <v>75</v>
      </c>
      <c r="G22" s="56">
        <v>37.728653656056899</v>
      </c>
      <c r="H22" s="56">
        <v>11.198274045859</v>
      </c>
      <c r="I22" s="57">
        <v>343.07661231891501</v>
      </c>
      <c r="J22" s="36"/>
      <c r="M22" s="39">
        <v>37.728653656056899</v>
      </c>
      <c r="O22" s="52" t="s">
        <v>76</v>
      </c>
      <c r="P22" s="40">
        <v>343.07661231891501</v>
      </c>
      <c r="Q22" s="40">
        <v>343.07661231891501</v>
      </c>
      <c r="R22" s="40">
        <v>343.07661231891501</v>
      </c>
      <c r="S22" s="40">
        <v>343.07661231891501</v>
      </c>
      <c r="T22" s="44">
        <v>0</v>
      </c>
    </row>
    <row r="23" spans="1:20" s="2" customFormat="1">
      <c r="A23" s="28" t="s">
        <v>17</v>
      </c>
      <c r="B23" s="24" t="s">
        <v>77</v>
      </c>
      <c r="C23" s="24" t="s">
        <v>78</v>
      </c>
      <c r="D23" s="29" t="s">
        <v>79</v>
      </c>
      <c r="F23" s="51" t="s">
        <v>80</v>
      </c>
      <c r="G23" s="27">
        <v>0</v>
      </c>
      <c r="H23" s="27">
        <v>0</v>
      </c>
      <c r="I23" s="38">
        <v>0</v>
      </c>
      <c r="J23" s="36"/>
      <c r="M23" s="39">
        <v>0</v>
      </c>
      <c r="O23" s="52" t="s">
        <v>81</v>
      </c>
      <c r="P23" s="40"/>
      <c r="Q23" s="40"/>
      <c r="R23" s="40"/>
      <c r="S23" s="40"/>
      <c r="T23" s="44"/>
    </row>
    <row r="24" spans="1:20">
      <c r="A24" s="30"/>
      <c r="B24" s="24"/>
      <c r="C24" s="24"/>
      <c r="D24" s="24"/>
      <c r="F24" s="49" t="s">
        <v>82</v>
      </c>
      <c r="G24" s="54">
        <v>54.9950904123125</v>
      </c>
      <c r="H24" s="54">
        <v>12.6363723628128</v>
      </c>
      <c r="I24" s="55">
        <v>416.01090537032701</v>
      </c>
      <c r="J24" s="36"/>
      <c r="M24" s="7">
        <v>54.460088448697498</v>
      </c>
      <c r="O24" s="47" t="s">
        <v>83</v>
      </c>
      <c r="P24" s="9">
        <v>416.01090537032701</v>
      </c>
      <c r="Q24" s="9">
        <v>413.04408566767898</v>
      </c>
      <c r="R24" s="9">
        <v>416.01090537032701</v>
      </c>
      <c r="S24" s="9">
        <v>418.977725072976</v>
      </c>
      <c r="T24" s="1">
        <v>4.1957166606009499</v>
      </c>
    </row>
    <row r="25" spans="1:20" s="2" customFormat="1">
      <c r="A25" s="28" t="s">
        <v>23</v>
      </c>
      <c r="B25" s="24" t="s">
        <v>84</v>
      </c>
      <c r="C25" s="24" t="s">
        <v>85</v>
      </c>
      <c r="D25" s="29" t="s">
        <v>86</v>
      </c>
      <c r="F25" s="51" t="s">
        <v>87</v>
      </c>
      <c r="G25" s="27">
        <v>0</v>
      </c>
      <c r="H25" s="27">
        <v>0</v>
      </c>
      <c r="I25" s="38">
        <v>0</v>
      </c>
      <c r="J25" s="36"/>
      <c r="M25" s="39">
        <v>0</v>
      </c>
      <c r="O25" s="52" t="s">
        <v>88</v>
      </c>
      <c r="P25" s="40"/>
      <c r="Q25" s="40"/>
      <c r="R25" s="40"/>
      <c r="S25" s="40"/>
      <c r="T25" s="44"/>
    </row>
    <row r="26" spans="1:20">
      <c r="A26" s="30"/>
      <c r="B26" s="24"/>
      <c r="C26" s="24"/>
      <c r="D26" s="24"/>
      <c r="F26" s="46" t="s">
        <v>89</v>
      </c>
      <c r="G26" s="58">
        <v>44.496234555510803</v>
      </c>
      <c r="H26" s="54">
        <v>17.933510658625</v>
      </c>
      <c r="I26" s="55">
        <v>583.35785557341603</v>
      </c>
      <c r="J26" s="36"/>
      <c r="M26" s="7">
        <v>1944.8990285690099</v>
      </c>
      <c r="O26" s="47" t="s">
        <v>90</v>
      </c>
      <c r="P26" s="9">
        <v>583.35785557341603</v>
      </c>
      <c r="Q26" s="9">
        <v>448.39479840849702</v>
      </c>
      <c r="R26" s="9">
        <v>592.318202318109</v>
      </c>
      <c r="S26" s="9">
        <v>692.98699075888703</v>
      </c>
      <c r="T26" s="1">
        <v>181.536187112801</v>
      </c>
    </row>
    <row r="27" spans="1:20" s="2" customFormat="1">
      <c r="A27" s="25" t="s">
        <v>29</v>
      </c>
      <c r="B27" s="24" t="s">
        <v>91</v>
      </c>
      <c r="C27" s="24" t="s">
        <v>92</v>
      </c>
      <c r="D27" s="29" t="s">
        <v>93</v>
      </c>
      <c r="F27" s="51" t="s">
        <v>94</v>
      </c>
      <c r="G27" s="27">
        <v>0</v>
      </c>
      <c r="H27" s="27">
        <v>0</v>
      </c>
      <c r="I27" s="38">
        <v>0</v>
      </c>
      <c r="J27" s="36"/>
      <c r="M27" s="39">
        <v>0</v>
      </c>
      <c r="O27" s="52" t="s">
        <v>95</v>
      </c>
      <c r="P27" s="40"/>
      <c r="Q27" s="40"/>
      <c r="R27" s="40"/>
      <c r="S27" s="40"/>
      <c r="T27" s="44"/>
    </row>
    <row r="28" spans="1:20">
      <c r="A28" s="30"/>
      <c r="B28" s="24"/>
      <c r="C28" s="24"/>
      <c r="D28" s="29"/>
      <c r="F28" s="49" t="s">
        <v>96</v>
      </c>
      <c r="G28" s="54">
        <v>76.023030152194195</v>
      </c>
      <c r="H28" s="54">
        <v>9.1200433861333305</v>
      </c>
      <c r="I28" s="55">
        <v>304.56997682785601</v>
      </c>
      <c r="J28" s="36"/>
      <c r="M28" s="7">
        <v>113.139657604962</v>
      </c>
      <c r="O28" s="47" t="s">
        <v>97</v>
      </c>
      <c r="P28" s="9">
        <v>304.56997682785601</v>
      </c>
      <c r="Q28" s="9">
        <v>304.56997682785601</v>
      </c>
      <c r="R28" s="9">
        <v>304.56997682785601</v>
      </c>
      <c r="S28" s="9">
        <v>304.56997682785601</v>
      </c>
      <c r="T28" s="1">
        <v>0</v>
      </c>
    </row>
    <row r="29" spans="1:20" s="2" customFormat="1">
      <c r="A29" s="25" t="s">
        <v>35</v>
      </c>
      <c r="B29" s="24" t="s">
        <v>98</v>
      </c>
      <c r="C29" s="24" t="s">
        <v>99</v>
      </c>
      <c r="D29" s="29" t="s">
        <v>100</v>
      </c>
      <c r="F29" s="51" t="s">
        <v>101</v>
      </c>
      <c r="G29" s="56">
        <v>56.949910249700601</v>
      </c>
      <c r="H29" s="56">
        <v>10.186147020395101</v>
      </c>
      <c r="I29" s="57">
        <v>347.23258212014201</v>
      </c>
      <c r="J29" s="36"/>
      <c r="M29" s="39">
        <v>99.2233182865738</v>
      </c>
      <c r="O29" s="52" t="s">
        <v>102</v>
      </c>
      <c r="P29" s="40">
        <v>347.23258212014201</v>
      </c>
      <c r="Q29" s="40">
        <v>198.49251629881701</v>
      </c>
      <c r="R29" s="40">
        <v>301.96099529816502</v>
      </c>
      <c r="S29" s="40">
        <v>388.53443819571498</v>
      </c>
      <c r="T29" s="44">
        <v>263.02256112600799</v>
      </c>
    </row>
    <row r="30" spans="1:20" s="3" customFormat="1">
      <c r="A30" s="25" t="s">
        <v>38</v>
      </c>
      <c r="B30" s="31" t="s">
        <v>103</v>
      </c>
      <c r="C30" s="31" t="s">
        <v>104</v>
      </c>
      <c r="D30" s="31" t="s">
        <v>105</v>
      </c>
      <c r="F30" s="53" t="s">
        <v>106</v>
      </c>
      <c r="G30" s="59">
        <v>45.053870411975304</v>
      </c>
      <c r="H30" s="59">
        <v>17.050140954024101</v>
      </c>
      <c r="I30" s="59">
        <v>573.13143677841094</v>
      </c>
      <c r="J30" s="41"/>
      <c r="M30" s="3">
        <v>142.41922773803799</v>
      </c>
      <c r="O30" s="52" t="s">
        <v>107</v>
      </c>
      <c r="P30" s="42">
        <v>573.13143677841094</v>
      </c>
      <c r="Q30" s="42">
        <v>390.73099977964603</v>
      </c>
      <c r="R30" s="42">
        <v>494.26648205305298</v>
      </c>
      <c r="S30" s="42">
        <v>584.74099351168502</v>
      </c>
      <c r="T30" s="42">
        <v>512.33956874462604</v>
      </c>
    </row>
    <row r="31" spans="1:20" s="2" customFormat="1">
      <c r="A31" s="25" t="s">
        <v>41</v>
      </c>
      <c r="B31" s="24" t="s">
        <v>108</v>
      </c>
      <c r="C31" s="24" t="s">
        <v>109</v>
      </c>
      <c r="D31" s="29" t="s">
        <v>110</v>
      </c>
      <c r="F31" s="51" t="s">
        <v>111</v>
      </c>
      <c r="G31" s="27">
        <v>0</v>
      </c>
      <c r="H31" s="27">
        <v>0</v>
      </c>
      <c r="I31" s="38">
        <v>0</v>
      </c>
      <c r="J31" s="36"/>
      <c r="M31" s="39">
        <v>0</v>
      </c>
      <c r="O31" s="52" t="s">
        <v>112</v>
      </c>
      <c r="P31" s="40"/>
      <c r="Q31" s="40"/>
      <c r="R31" s="40"/>
      <c r="S31" s="40"/>
      <c r="T31" s="44"/>
    </row>
    <row r="32" spans="1:20">
      <c r="A32" s="30"/>
      <c r="B32" s="24"/>
      <c r="C32" s="24"/>
      <c r="D32" s="24"/>
      <c r="F32" s="46" t="s">
        <v>113</v>
      </c>
      <c r="G32" s="15">
        <v>0</v>
      </c>
      <c r="H32" s="15">
        <v>0</v>
      </c>
      <c r="I32" s="33">
        <v>0</v>
      </c>
      <c r="J32" s="36"/>
      <c r="M32" s="7">
        <v>0</v>
      </c>
      <c r="O32" s="47" t="s">
        <v>114</v>
      </c>
    </row>
    <row r="33" spans="1:20" s="2" customFormat="1">
      <c r="A33" s="25" t="s">
        <v>47</v>
      </c>
      <c r="B33" s="29" t="s">
        <v>115</v>
      </c>
      <c r="C33" s="24" t="s">
        <v>116</v>
      </c>
      <c r="D33" s="24" t="s">
        <v>117</v>
      </c>
      <c r="F33" s="51" t="s">
        <v>118</v>
      </c>
      <c r="G33" s="27">
        <v>0</v>
      </c>
      <c r="H33" s="27">
        <v>0</v>
      </c>
      <c r="I33" s="38">
        <v>0</v>
      </c>
      <c r="J33" s="36"/>
      <c r="M33" s="39">
        <v>0</v>
      </c>
      <c r="O33" s="52" t="s">
        <v>119</v>
      </c>
      <c r="P33" s="40"/>
      <c r="Q33" s="40"/>
      <c r="R33" s="40"/>
      <c r="S33" s="40"/>
      <c r="T33" s="44"/>
    </row>
    <row r="34" spans="1:20">
      <c r="F34" s="46" t="s">
        <v>120</v>
      </c>
      <c r="G34" s="54">
        <v>70.655543684202001</v>
      </c>
      <c r="H34" s="54">
        <v>6.4391133372156499</v>
      </c>
      <c r="I34" s="55">
        <v>214.559018786005</v>
      </c>
      <c r="J34" s="36"/>
      <c r="M34" s="7">
        <v>70.655543684202001</v>
      </c>
      <c r="O34" s="47" t="s">
        <v>121</v>
      </c>
      <c r="P34" s="9">
        <v>214.559018786005</v>
      </c>
      <c r="Q34" s="9">
        <v>214.559018786005</v>
      </c>
      <c r="R34" s="9">
        <v>214.559018786005</v>
      </c>
      <c r="S34" s="9">
        <v>214.559018786005</v>
      </c>
      <c r="T34" s="1">
        <v>0</v>
      </c>
    </row>
    <row r="35" spans="1:20">
      <c r="F35" s="49" t="s">
        <v>122</v>
      </c>
      <c r="G35" s="15">
        <v>0</v>
      </c>
      <c r="H35" s="15">
        <v>0</v>
      </c>
      <c r="I35" s="33">
        <v>0</v>
      </c>
      <c r="J35" s="36"/>
      <c r="M35" s="7">
        <v>0</v>
      </c>
      <c r="O35" s="47" t="s">
        <v>123</v>
      </c>
    </row>
    <row r="36" spans="1:20">
      <c r="F36" s="49" t="s">
        <v>124</v>
      </c>
      <c r="G36" s="54">
        <v>48.530866491873397</v>
      </c>
      <c r="H36" s="54">
        <v>17.8029307341323</v>
      </c>
      <c r="I36" s="55">
        <v>582.85812935181298</v>
      </c>
      <c r="J36" s="36"/>
      <c r="M36" s="7">
        <v>59.373670256634497</v>
      </c>
      <c r="O36" s="47" t="s">
        <v>125</v>
      </c>
      <c r="P36" s="9">
        <v>582.85812935181298</v>
      </c>
      <c r="Q36" s="9">
        <v>455.041797283177</v>
      </c>
      <c r="R36" s="9">
        <v>543.27469593149203</v>
      </c>
      <c r="S36" s="9">
        <v>645.27900254674398</v>
      </c>
      <c r="T36" s="1">
        <v>279.02834360931701</v>
      </c>
    </row>
    <row r="37" spans="1:20">
      <c r="B37" s="11"/>
      <c r="C37" s="11"/>
      <c r="D37" s="11"/>
      <c r="F37" s="49" t="s">
        <v>126</v>
      </c>
      <c r="G37" s="54">
        <v>60.004973110181297</v>
      </c>
      <c r="H37" s="54">
        <v>14.7703998531598</v>
      </c>
      <c r="I37" s="55">
        <v>490.49337281255703</v>
      </c>
      <c r="J37" s="36"/>
      <c r="M37" s="7">
        <v>95.533101822098203</v>
      </c>
      <c r="O37" s="47" t="s">
        <v>127</v>
      </c>
      <c r="P37" s="9">
        <v>490.49337281255703</v>
      </c>
      <c r="Q37" s="9">
        <v>319.19013278255602</v>
      </c>
      <c r="R37" s="9">
        <v>434.523152219868</v>
      </c>
      <c r="S37" s="9">
        <v>579.21400164068302</v>
      </c>
      <c r="T37" s="1">
        <v>266.18914710180201</v>
      </c>
    </row>
    <row r="38" spans="1:20">
      <c r="A38" s="32" t="s">
        <v>128</v>
      </c>
      <c r="B38" s="32" t="s">
        <v>129</v>
      </c>
      <c r="C38" s="32" t="s">
        <v>130</v>
      </c>
      <c r="D38" s="32" t="s">
        <v>131</v>
      </c>
      <c r="F38" s="49" t="s">
        <v>132</v>
      </c>
      <c r="G38" s="54">
        <v>67.867725584794101</v>
      </c>
      <c r="H38" s="54">
        <v>12.1907392380148</v>
      </c>
      <c r="I38" s="55">
        <v>406.95449526990001</v>
      </c>
      <c r="J38" s="36"/>
      <c r="M38" s="7">
        <v>70.607922603618405</v>
      </c>
      <c r="O38" s="47" t="s">
        <v>133</v>
      </c>
      <c r="P38" s="9">
        <v>406.95449526990001</v>
      </c>
      <c r="Q38" s="9">
        <v>282.82759081646202</v>
      </c>
      <c r="R38" s="9">
        <v>314.35598950008898</v>
      </c>
      <c r="S38" s="9">
        <v>610.21433275931497</v>
      </c>
      <c r="T38" s="1">
        <v>206.327488506968</v>
      </c>
    </row>
    <row r="39" spans="1:20">
      <c r="A39" s="32" t="s">
        <v>14</v>
      </c>
      <c r="B39" s="32">
        <v>64.08</v>
      </c>
      <c r="C39" s="32">
        <v>16.22</v>
      </c>
      <c r="D39" s="32">
        <v>536.99</v>
      </c>
      <c r="F39" s="46" t="s">
        <v>134</v>
      </c>
      <c r="G39" s="54">
        <v>80.6016104201762</v>
      </c>
      <c r="H39" s="54">
        <v>5.5743747191852604</v>
      </c>
      <c r="I39" s="55">
        <v>183.29787548385201</v>
      </c>
      <c r="J39" s="36"/>
      <c r="M39" s="7">
        <v>82.296256507803605</v>
      </c>
      <c r="O39" s="47" t="s">
        <v>135</v>
      </c>
      <c r="P39" s="9">
        <v>183.29787548385201</v>
      </c>
      <c r="Q39" s="9">
        <v>183.29787548385201</v>
      </c>
      <c r="R39" s="9">
        <v>183.29787548385201</v>
      </c>
      <c r="S39" s="9">
        <v>183.29787548385201</v>
      </c>
      <c r="T39" s="1">
        <v>0</v>
      </c>
    </row>
    <row r="40" spans="1:20" s="4" customFormat="1">
      <c r="A40" s="32" t="s">
        <v>17</v>
      </c>
      <c r="B40" s="32">
        <v>59.7</v>
      </c>
      <c r="C40" s="32">
        <v>16.079999999999998</v>
      </c>
      <c r="D40" s="32">
        <v>528.52</v>
      </c>
      <c r="F40" s="49" t="s">
        <v>136</v>
      </c>
      <c r="G40" s="55">
        <v>59.095366629109598</v>
      </c>
      <c r="H40" s="55">
        <v>10.1892213472489</v>
      </c>
      <c r="I40" s="55">
        <v>340.03670445819301</v>
      </c>
      <c r="J40" s="36"/>
      <c r="M40" s="4">
        <v>601.42950708214903</v>
      </c>
      <c r="O40" s="47" t="s">
        <v>137</v>
      </c>
      <c r="P40" s="9">
        <v>340.03670445819301</v>
      </c>
      <c r="Q40" s="9">
        <v>255.60954878651901</v>
      </c>
      <c r="R40" s="9">
        <v>380.01325437458303</v>
      </c>
      <c r="S40" s="9">
        <v>399.337887372571</v>
      </c>
      <c r="T40" s="45">
        <v>74.486049957921097</v>
      </c>
    </row>
    <row r="41" spans="1:20">
      <c r="A41" s="32" t="s">
        <v>23</v>
      </c>
      <c r="B41" s="32">
        <v>70.069999999999993</v>
      </c>
      <c r="C41" s="32">
        <v>11.33</v>
      </c>
      <c r="D41" s="32">
        <v>398.69</v>
      </c>
      <c r="F41" s="46" t="s">
        <v>138</v>
      </c>
      <c r="G41" s="15">
        <v>0</v>
      </c>
      <c r="H41" s="15">
        <v>0</v>
      </c>
      <c r="I41" s="33">
        <v>0</v>
      </c>
      <c r="J41" s="36"/>
      <c r="M41" s="7">
        <v>0</v>
      </c>
      <c r="O41" s="47" t="s">
        <v>139</v>
      </c>
    </row>
    <row r="42" spans="1:20">
      <c r="A42" s="32" t="s">
        <v>29</v>
      </c>
      <c r="B42" s="32">
        <v>69.63</v>
      </c>
      <c r="C42" s="32">
        <v>16.72</v>
      </c>
      <c r="D42" s="32">
        <v>552.70000000000005</v>
      </c>
      <c r="F42" s="49" t="s">
        <v>140</v>
      </c>
      <c r="G42" s="15">
        <v>0</v>
      </c>
      <c r="H42" s="15">
        <v>0</v>
      </c>
      <c r="I42" s="33">
        <v>0</v>
      </c>
      <c r="J42" s="36"/>
      <c r="M42" s="7">
        <v>0</v>
      </c>
      <c r="O42" s="47" t="s">
        <v>141</v>
      </c>
    </row>
    <row r="43" spans="1:20">
      <c r="A43" s="32" t="s">
        <v>35</v>
      </c>
      <c r="B43" s="32">
        <v>74.28</v>
      </c>
      <c r="C43" s="32">
        <v>11.44</v>
      </c>
      <c r="D43" s="32">
        <v>387.1</v>
      </c>
      <c r="F43" s="46" t="s">
        <v>142</v>
      </c>
      <c r="G43" s="54">
        <v>57.126343285434103</v>
      </c>
      <c r="H43" s="54">
        <v>7.7938819371326797</v>
      </c>
      <c r="I43" s="55">
        <v>258.36962496752898</v>
      </c>
      <c r="J43" s="36"/>
      <c r="M43" s="7">
        <v>57.126343285434103</v>
      </c>
      <c r="O43" s="47" t="s">
        <v>143</v>
      </c>
      <c r="P43" s="9">
        <v>258.36962496752898</v>
      </c>
      <c r="Q43" s="9">
        <v>258.36962496752898</v>
      </c>
      <c r="R43" s="9">
        <v>258.36962496752898</v>
      </c>
      <c r="S43" s="9">
        <v>258.36962496752898</v>
      </c>
      <c r="T43" s="1">
        <v>0</v>
      </c>
    </row>
    <row r="44" spans="1:20">
      <c r="A44" s="32" t="s">
        <v>38</v>
      </c>
      <c r="B44" s="32">
        <v>70.790000000000006</v>
      </c>
      <c r="C44" s="32">
        <v>10.09</v>
      </c>
      <c r="D44" s="32">
        <v>339.34</v>
      </c>
      <c r="F44" s="46" t="s">
        <v>144</v>
      </c>
      <c r="G44" s="15">
        <v>0</v>
      </c>
      <c r="H44" s="15">
        <v>0</v>
      </c>
      <c r="I44" s="33">
        <v>0</v>
      </c>
      <c r="J44" s="36"/>
      <c r="M44" s="7">
        <v>0</v>
      </c>
      <c r="O44" s="47" t="s">
        <v>145</v>
      </c>
    </row>
    <row r="45" spans="1:20">
      <c r="A45" s="32" t="s">
        <v>41</v>
      </c>
      <c r="B45" s="32">
        <v>65.569999999999993</v>
      </c>
      <c r="C45" s="32">
        <v>16.41</v>
      </c>
      <c r="D45" s="32">
        <v>544.86</v>
      </c>
      <c r="F45" s="49" t="s">
        <v>146</v>
      </c>
      <c r="G45" s="54">
        <v>69.519621896132904</v>
      </c>
      <c r="H45" s="54">
        <v>16.771251735531401</v>
      </c>
      <c r="I45" s="55">
        <v>566.26432816970396</v>
      </c>
      <c r="J45" s="36"/>
      <c r="M45" s="7">
        <v>120.341737264288</v>
      </c>
      <c r="O45" s="47" t="s">
        <v>147</v>
      </c>
      <c r="P45" s="9">
        <v>566.26432816970396</v>
      </c>
      <c r="Q45" s="9">
        <v>305.60997503714202</v>
      </c>
      <c r="R45" s="9">
        <v>385.54804814190902</v>
      </c>
      <c r="S45" s="9">
        <v>541.29489941669306</v>
      </c>
      <c r="T45" s="1">
        <v>1057.7484947253199</v>
      </c>
    </row>
    <row r="46" spans="1:20">
      <c r="A46" s="32" t="s">
        <v>47</v>
      </c>
      <c r="B46" s="32">
        <v>67.3</v>
      </c>
      <c r="C46" s="32">
        <v>12.89</v>
      </c>
      <c r="D46" s="32">
        <v>427.87</v>
      </c>
      <c r="F46" s="49" t="s">
        <v>148</v>
      </c>
      <c r="G46" s="54">
        <v>80.096364527217602</v>
      </c>
      <c r="H46" s="54">
        <v>9.9336422980794108</v>
      </c>
      <c r="I46" s="55">
        <v>336.25799970724</v>
      </c>
      <c r="J46" s="36"/>
      <c r="M46" s="7">
        <v>154.786996477358</v>
      </c>
      <c r="O46" s="47" t="s">
        <v>149</v>
      </c>
      <c r="P46" s="9">
        <v>336.25799970724</v>
      </c>
      <c r="Q46" s="9">
        <v>207.031857118104</v>
      </c>
      <c r="R46" s="9">
        <v>294.31229639854001</v>
      </c>
      <c r="S46" s="9">
        <v>384.39968697344398</v>
      </c>
      <c r="T46" s="1">
        <v>243.553875234011</v>
      </c>
    </row>
    <row r="47" spans="1:20">
      <c r="A47" s="25"/>
      <c r="D47" s="2"/>
      <c r="F47" s="49" t="s">
        <v>150</v>
      </c>
      <c r="G47" s="54">
        <v>68.690117230557306</v>
      </c>
      <c r="H47" s="54">
        <v>13.205732959997</v>
      </c>
      <c r="I47" s="55">
        <v>446.19538933625302</v>
      </c>
      <c r="J47" s="36"/>
      <c r="M47" s="7">
        <v>168.10779707334399</v>
      </c>
      <c r="O47" s="47" t="s">
        <v>151</v>
      </c>
      <c r="P47" s="9">
        <v>446.19538933625302</v>
      </c>
      <c r="Q47" s="9">
        <v>265.67769195987802</v>
      </c>
      <c r="R47" s="9">
        <v>348.31861719391998</v>
      </c>
      <c r="S47" s="9">
        <v>452.618996982917</v>
      </c>
      <c r="T47" s="1">
        <v>764.53597256681803</v>
      </c>
    </row>
    <row r="48" spans="1:20">
      <c r="A48" s="25"/>
      <c r="F48" s="46" t="s">
        <v>152</v>
      </c>
      <c r="G48" s="15">
        <v>0</v>
      </c>
      <c r="H48" s="15">
        <v>0</v>
      </c>
      <c r="I48" s="33">
        <v>0</v>
      </c>
      <c r="J48" s="36"/>
      <c r="M48" s="7">
        <v>0</v>
      </c>
      <c r="O48" s="47" t="s">
        <v>153</v>
      </c>
    </row>
    <row r="49" spans="1:20">
      <c r="A49" s="30"/>
      <c r="F49" s="46" t="s">
        <v>154</v>
      </c>
      <c r="G49" s="15">
        <v>0</v>
      </c>
      <c r="H49" s="15">
        <v>0</v>
      </c>
      <c r="I49" s="33">
        <v>0</v>
      </c>
      <c r="J49" s="36"/>
      <c r="M49" s="7">
        <v>0</v>
      </c>
      <c r="O49" s="47" t="s">
        <v>155</v>
      </c>
    </row>
    <row r="50" spans="1:20">
      <c r="A50" s="25"/>
      <c r="F50" s="49" t="s">
        <v>156</v>
      </c>
      <c r="G50" s="54">
        <v>61.140822347516902</v>
      </c>
      <c r="H50" s="54">
        <v>10.284659313824401</v>
      </c>
      <c r="I50" s="55">
        <v>359.77522553977201</v>
      </c>
      <c r="J50" s="36"/>
      <c r="M50" s="7">
        <v>94.824061546835793</v>
      </c>
      <c r="O50" s="47" t="s">
        <v>157</v>
      </c>
      <c r="P50" s="9">
        <v>359.77522553977201</v>
      </c>
      <c r="Q50" s="9">
        <v>286.86037294195302</v>
      </c>
      <c r="R50" s="9">
        <v>337.30766102784497</v>
      </c>
      <c r="S50" s="9">
        <v>409.79822873068201</v>
      </c>
      <c r="T50" s="1">
        <v>146.50538195212101</v>
      </c>
    </row>
    <row r="51" spans="1:20">
      <c r="A51" s="32" t="s">
        <v>158</v>
      </c>
      <c r="B51" s="32" t="s">
        <v>159</v>
      </c>
      <c r="C51" s="32" t="s">
        <v>160</v>
      </c>
      <c r="D51" s="32" t="s">
        <v>161</v>
      </c>
      <c r="F51" s="46" t="s">
        <v>162</v>
      </c>
      <c r="G51" s="15">
        <v>0</v>
      </c>
      <c r="H51" s="15">
        <v>0</v>
      </c>
      <c r="I51" s="33">
        <v>0</v>
      </c>
      <c r="J51" s="36"/>
      <c r="M51" s="7">
        <v>0</v>
      </c>
      <c r="O51" s="47" t="s">
        <v>163</v>
      </c>
    </row>
    <row r="52" spans="1:20">
      <c r="A52" s="32" t="s">
        <v>14</v>
      </c>
      <c r="B52" s="32">
        <v>49.53</v>
      </c>
      <c r="C52" s="32">
        <v>8.94</v>
      </c>
      <c r="D52" s="32">
        <v>300.13</v>
      </c>
      <c r="F52" s="46" t="s">
        <v>164</v>
      </c>
      <c r="G52" s="54">
        <v>51.856940413072202</v>
      </c>
      <c r="H52" s="54">
        <v>7.6727671597451099</v>
      </c>
      <c r="I52" s="55">
        <v>264.11247843030299</v>
      </c>
      <c r="J52" s="36"/>
      <c r="M52" s="7">
        <v>51.856940413072202</v>
      </c>
      <c r="O52" s="47" t="s">
        <v>165</v>
      </c>
      <c r="P52" s="9">
        <v>264.11247843030299</v>
      </c>
      <c r="Q52" s="9">
        <v>264.11247843030299</v>
      </c>
      <c r="R52" s="9">
        <v>264.11247843030299</v>
      </c>
      <c r="S52" s="9">
        <v>264.11247843030299</v>
      </c>
      <c r="T52" s="1">
        <v>0</v>
      </c>
    </row>
    <row r="53" spans="1:20">
      <c r="A53" s="32" t="s">
        <v>17</v>
      </c>
      <c r="B53" s="32">
        <v>46.95</v>
      </c>
      <c r="C53" s="32">
        <v>12.2</v>
      </c>
      <c r="D53" s="32">
        <v>403.73</v>
      </c>
      <c r="F53" s="46" t="s">
        <v>166</v>
      </c>
      <c r="G53" s="54">
        <v>64.515936152201206</v>
      </c>
      <c r="H53" s="54">
        <v>8.4875456566785399</v>
      </c>
      <c r="I53" s="55">
        <v>343.00089850751101</v>
      </c>
      <c r="J53" s="36"/>
      <c r="M53" s="7">
        <v>158.55394436511401</v>
      </c>
      <c r="O53" s="47" t="s">
        <v>167</v>
      </c>
      <c r="P53" s="9">
        <v>343.00089850751101</v>
      </c>
      <c r="Q53" s="9">
        <v>209.72302615408</v>
      </c>
      <c r="R53" s="9">
        <v>297.56278804254998</v>
      </c>
      <c r="S53" s="9">
        <v>477.26689042840201</v>
      </c>
      <c r="T53" s="1">
        <v>185.29463927970801</v>
      </c>
    </row>
    <row r="54" spans="1:20">
      <c r="A54" s="32" t="s">
        <v>23</v>
      </c>
      <c r="B54" s="32">
        <v>49.48</v>
      </c>
      <c r="C54" s="32">
        <v>8.86</v>
      </c>
      <c r="D54" s="32">
        <v>300.18</v>
      </c>
      <c r="F54" s="49" t="s">
        <v>168</v>
      </c>
      <c r="G54" s="15">
        <v>0</v>
      </c>
      <c r="H54" s="15">
        <v>0</v>
      </c>
      <c r="I54" s="33">
        <v>0</v>
      </c>
      <c r="J54" s="36"/>
      <c r="M54" s="7">
        <v>0</v>
      </c>
      <c r="O54" s="47" t="s">
        <v>169</v>
      </c>
    </row>
    <row r="55" spans="1:20">
      <c r="A55" s="32" t="s">
        <v>29</v>
      </c>
      <c r="B55" s="32">
        <v>51.92</v>
      </c>
      <c r="C55" s="32">
        <v>12.32</v>
      </c>
      <c r="D55" s="32">
        <v>414.26</v>
      </c>
      <c r="F55" s="49" t="s">
        <v>170</v>
      </c>
      <c r="G55" s="54">
        <v>67.058458419537601</v>
      </c>
      <c r="H55" s="54">
        <v>11.1894396883014</v>
      </c>
      <c r="I55" s="55">
        <v>377.966035270237</v>
      </c>
      <c r="J55" s="36"/>
      <c r="M55" s="7">
        <v>117.350846111287</v>
      </c>
      <c r="O55" s="47" t="s">
        <v>171</v>
      </c>
      <c r="P55" s="9">
        <v>377.966035270237</v>
      </c>
      <c r="Q55" s="9">
        <v>253.64721744664899</v>
      </c>
      <c r="R55" s="9">
        <v>330.636932192232</v>
      </c>
      <c r="S55" s="9">
        <v>514.11712886332703</v>
      </c>
      <c r="T55" s="1">
        <v>178.418545374286</v>
      </c>
    </row>
    <row r="56" spans="1:20">
      <c r="A56" s="32" t="s">
        <v>35</v>
      </c>
      <c r="B56" s="32">
        <v>58.5</v>
      </c>
      <c r="C56" s="32">
        <v>7.37</v>
      </c>
      <c r="D56" s="32">
        <v>258.37</v>
      </c>
      <c r="F56" s="46" t="s">
        <v>172</v>
      </c>
      <c r="G56" s="15">
        <v>0</v>
      </c>
      <c r="H56" s="15">
        <v>0</v>
      </c>
      <c r="I56" s="33">
        <v>0</v>
      </c>
      <c r="J56" s="36"/>
      <c r="M56" s="7">
        <v>0</v>
      </c>
      <c r="O56" s="47" t="s">
        <v>173</v>
      </c>
    </row>
    <row r="57" spans="1:20">
      <c r="A57" s="32" t="s">
        <v>38</v>
      </c>
      <c r="B57" s="32">
        <v>58.07</v>
      </c>
      <c r="C57" s="32">
        <v>9.0299999999999994</v>
      </c>
      <c r="D57" s="32">
        <v>309.31</v>
      </c>
      <c r="F57" s="46" t="s">
        <v>174</v>
      </c>
      <c r="G57" s="54">
        <v>64.007894321328905</v>
      </c>
      <c r="H57" s="54">
        <v>8.8539569823789499</v>
      </c>
      <c r="I57" s="55">
        <v>440.098335062437</v>
      </c>
      <c r="J57" s="36"/>
      <c r="M57" s="7">
        <v>284.63415911568802</v>
      </c>
      <c r="O57" s="47" t="s">
        <v>175</v>
      </c>
      <c r="P57" s="9">
        <v>440.098335062437</v>
      </c>
      <c r="Q57" s="9">
        <v>233.37343455003699</v>
      </c>
      <c r="R57" s="9">
        <v>257.94156057527101</v>
      </c>
      <c r="S57" s="9">
        <v>311.02890061473499</v>
      </c>
      <c r="T57" s="1">
        <v>758.63013363125594</v>
      </c>
    </row>
    <row r="58" spans="1:20">
      <c r="A58" s="32" t="s">
        <v>41</v>
      </c>
      <c r="B58" s="32">
        <v>50.52</v>
      </c>
      <c r="C58" s="32">
        <v>12.12</v>
      </c>
      <c r="D58" s="32">
        <v>404.51</v>
      </c>
      <c r="F58" s="46" t="s">
        <v>176</v>
      </c>
      <c r="G58" s="54">
        <v>56.243077487950998</v>
      </c>
      <c r="H58" s="54">
        <v>11.1129752307918</v>
      </c>
      <c r="I58" s="55">
        <v>371.15203830739199</v>
      </c>
      <c r="J58" s="36"/>
      <c r="M58" s="7">
        <v>102.39049354081899</v>
      </c>
      <c r="O58" s="47" t="s">
        <v>177</v>
      </c>
      <c r="P58" s="9">
        <v>371.15203830739199</v>
      </c>
      <c r="Q58" s="9">
        <v>247.249928595532</v>
      </c>
      <c r="R58" s="9">
        <v>307.66790919687003</v>
      </c>
      <c r="S58" s="9">
        <v>400.69447700441702</v>
      </c>
      <c r="T58" s="1">
        <v>255.64731220354699</v>
      </c>
    </row>
    <row r="59" spans="1:20">
      <c r="A59" s="32" t="s">
        <v>47</v>
      </c>
      <c r="B59" s="32">
        <v>54.55</v>
      </c>
      <c r="C59" s="32">
        <v>9.6300000000000008</v>
      </c>
      <c r="D59" s="32">
        <v>318.08</v>
      </c>
      <c r="F59" s="46" t="s">
        <v>178</v>
      </c>
      <c r="G59" s="15">
        <v>0</v>
      </c>
      <c r="H59" s="15">
        <v>0</v>
      </c>
      <c r="I59" s="33">
        <v>0</v>
      </c>
      <c r="J59" s="36"/>
      <c r="M59" s="7">
        <v>0</v>
      </c>
      <c r="O59" s="47" t="s">
        <v>179</v>
      </c>
    </row>
    <row r="60" spans="1:20">
      <c r="F60" s="46" t="s">
        <v>180</v>
      </c>
      <c r="G60" s="15">
        <v>0</v>
      </c>
      <c r="H60" s="15">
        <v>0</v>
      </c>
      <c r="I60" s="33">
        <v>0</v>
      </c>
      <c r="J60" s="36"/>
      <c r="M60" s="7">
        <v>0</v>
      </c>
      <c r="O60" s="47" t="s">
        <v>181</v>
      </c>
    </row>
    <row r="61" spans="1:20">
      <c r="F61" s="49" t="s">
        <v>182</v>
      </c>
      <c r="G61" s="54">
        <v>55.726903315041902</v>
      </c>
      <c r="H61" s="54">
        <v>12.8524452552544</v>
      </c>
      <c r="I61" s="55">
        <v>439.55022603598798</v>
      </c>
      <c r="J61" s="36"/>
      <c r="M61" s="7">
        <v>159.66656410049001</v>
      </c>
      <c r="O61" s="47" t="s">
        <v>183</v>
      </c>
      <c r="P61" s="9">
        <v>439.55022603598798</v>
      </c>
      <c r="Q61" s="9">
        <v>289.15231328705801</v>
      </c>
      <c r="R61" s="9">
        <v>393.37259343847398</v>
      </c>
      <c r="S61" s="9">
        <v>487.424015981975</v>
      </c>
      <c r="T61" s="1">
        <v>346.67026593676701</v>
      </c>
    </row>
    <row r="62" spans="1:20">
      <c r="F62" s="46" t="s">
        <v>184</v>
      </c>
      <c r="G62" s="15">
        <v>0</v>
      </c>
      <c r="H62" s="15">
        <v>0</v>
      </c>
      <c r="I62" s="33">
        <v>0</v>
      </c>
      <c r="J62" s="36"/>
      <c r="M62" s="7">
        <v>0</v>
      </c>
      <c r="O62" s="47" t="s">
        <v>185</v>
      </c>
    </row>
    <row r="63" spans="1:20">
      <c r="F63" s="46" t="s">
        <v>186</v>
      </c>
      <c r="G63" s="54">
        <v>41.431134718517697</v>
      </c>
      <c r="H63" s="54">
        <v>13.597765868524201</v>
      </c>
      <c r="I63" s="55">
        <v>452.71920286435301</v>
      </c>
      <c r="J63" s="36"/>
      <c r="M63" s="7">
        <v>38.685918628912503</v>
      </c>
      <c r="O63" s="47" t="s">
        <v>187</v>
      </c>
      <c r="P63" s="9">
        <v>452.71920286435301</v>
      </c>
      <c r="Q63" s="9">
        <v>302.58948459642698</v>
      </c>
      <c r="R63" s="9">
        <v>390.50726876463898</v>
      </c>
      <c r="S63" s="9">
        <v>646.03807589293297</v>
      </c>
      <c r="T63" s="1">
        <v>209.65664347678501</v>
      </c>
    </row>
    <row r="64" spans="1:20">
      <c r="A64" s="32" t="s">
        <v>188</v>
      </c>
      <c r="B64" s="32" t="s">
        <v>189</v>
      </c>
      <c r="C64" s="32" t="s">
        <v>190</v>
      </c>
      <c r="D64" s="32" t="s">
        <v>191</v>
      </c>
      <c r="F64" s="46" t="s">
        <v>192</v>
      </c>
      <c r="G64" s="54">
        <v>59.5913787567873</v>
      </c>
      <c r="H64" s="54">
        <v>15.2810330066345</v>
      </c>
      <c r="I64" s="55">
        <v>499.87998442265501</v>
      </c>
      <c r="J64" s="36"/>
      <c r="M64" s="7">
        <v>205.0081529341</v>
      </c>
      <c r="O64" s="47" t="s">
        <v>193</v>
      </c>
      <c r="P64" s="9">
        <v>499.87998442265501</v>
      </c>
      <c r="Q64" s="9">
        <v>255.755346835018</v>
      </c>
      <c r="R64" s="9">
        <v>335.129344073906</v>
      </c>
      <c r="S64" s="9">
        <v>496.24116285118998</v>
      </c>
      <c r="T64" s="1">
        <v>584.61488369196604</v>
      </c>
    </row>
    <row r="65" spans="1:20">
      <c r="A65" s="32" t="s">
        <v>14</v>
      </c>
      <c r="B65" s="32">
        <v>38.369999999999997</v>
      </c>
      <c r="C65" s="32">
        <v>12.04</v>
      </c>
      <c r="D65" s="32">
        <v>400.48</v>
      </c>
      <c r="F65" s="46" t="s">
        <v>194</v>
      </c>
      <c r="G65" s="15">
        <v>0</v>
      </c>
      <c r="H65" s="15">
        <v>0</v>
      </c>
      <c r="I65" s="33">
        <v>0</v>
      </c>
      <c r="J65" s="36"/>
      <c r="M65" s="7">
        <v>0</v>
      </c>
      <c r="O65" s="47" t="s">
        <v>195</v>
      </c>
    </row>
    <row r="66" spans="1:20">
      <c r="A66" s="32" t="s">
        <v>17</v>
      </c>
      <c r="B66" s="32">
        <v>36.32</v>
      </c>
      <c r="C66" s="32">
        <v>9.4600000000000009</v>
      </c>
      <c r="D66" s="32">
        <v>314.25</v>
      </c>
      <c r="F66" s="46" t="s">
        <v>196</v>
      </c>
      <c r="G66" s="54">
        <v>58.314733196305099</v>
      </c>
      <c r="H66" s="54">
        <v>10.3741325352352</v>
      </c>
      <c r="I66" s="55">
        <v>338.351991196634</v>
      </c>
      <c r="J66" s="36"/>
      <c r="M66" s="7">
        <v>65.813939089093097</v>
      </c>
      <c r="O66" s="47" t="s">
        <v>197</v>
      </c>
      <c r="P66" s="9">
        <v>338.351991196634</v>
      </c>
      <c r="Q66" s="9">
        <v>259.65852129244001</v>
      </c>
      <c r="R66" s="9">
        <v>338.351991196634</v>
      </c>
      <c r="S66" s="9">
        <v>417.04546110082703</v>
      </c>
      <c r="T66" s="1">
        <v>111.289372408709</v>
      </c>
    </row>
    <row r="67" spans="1:20">
      <c r="A67" s="32" t="s">
        <v>23</v>
      </c>
      <c r="B67" s="32">
        <v>37.79</v>
      </c>
      <c r="C67" s="32">
        <v>5.94</v>
      </c>
      <c r="D67" s="32">
        <v>201.06</v>
      </c>
      <c r="F67" s="46" t="s">
        <v>198</v>
      </c>
      <c r="G67" s="54">
        <v>43.865186654096398</v>
      </c>
      <c r="H67" s="54">
        <v>15.0165857419891</v>
      </c>
      <c r="I67" s="55">
        <v>515.16711994701097</v>
      </c>
      <c r="J67" s="36"/>
      <c r="M67" s="7">
        <v>13.2548392719277</v>
      </c>
      <c r="O67" s="47" t="s">
        <v>199</v>
      </c>
      <c r="P67" s="9">
        <v>515.16711994701097</v>
      </c>
      <c r="Q67" s="9">
        <v>360.70201655619502</v>
      </c>
      <c r="R67" s="9">
        <v>513.95719273816701</v>
      </c>
      <c r="S67" s="9">
        <v>669.934705140039</v>
      </c>
      <c r="T67" s="1">
        <v>206.15778861001999</v>
      </c>
    </row>
    <row r="68" spans="1:20">
      <c r="A68" s="32" t="s">
        <v>29</v>
      </c>
      <c r="B68" s="32">
        <v>40.64</v>
      </c>
      <c r="C68" s="32">
        <v>9.23</v>
      </c>
      <c r="D68" s="32">
        <v>310.14999999999998</v>
      </c>
      <c r="F68" s="46" t="s">
        <v>200</v>
      </c>
      <c r="G68" s="15">
        <v>0</v>
      </c>
      <c r="H68" s="15">
        <v>0</v>
      </c>
      <c r="I68" s="33">
        <v>0</v>
      </c>
      <c r="J68" s="36"/>
      <c r="M68" s="7">
        <v>0</v>
      </c>
      <c r="O68" s="47" t="s">
        <v>201</v>
      </c>
    </row>
    <row r="69" spans="1:20">
      <c r="A69" s="32" t="s">
        <v>35</v>
      </c>
      <c r="B69" s="32">
        <v>47.23</v>
      </c>
      <c r="C69" s="32">
        <v>5.92</v>
      </c>
      <c r="D69" s="32">
        <v>198.37</v>
      </c>
      <c r="F69" s="46" t="s">
        <v>202</v>
      </c>
      <c r="G69" s="15">
        <v>0</v>
      </c>
      <c r="H69" s="15">
        <v>0</v>
      </c>
      <c r="I69" s="33">
        <v>0</v>
      </c>
      <c r="J69" s="36"/>
      <c r="M69" s="7">
        <v>0</v>
      </c>
      <c r="O69" s="47" t="s">
        <v>203</v>
      </c>
    </row>
    <row r="70" spans="1:20">
      <c r="A70" s="32" t="s">
        <v>38</v>
      </c>
      <c r="B70" s="32">
        <v>52.3</v>
      </c>
      <c r="C70" s="32">
        <v>7.12</v>
      </c>
      <c r="D70" s="32">
        <v>238.03</v>
      </c>
      <c r="F70" s="46" t="s">
        <v>204</v>
      </c>
      <c r="G70" s="15">
        <v>0</v>
      </c>
      <c r="H70" s="15">
        <v>0</v>
      </c>
      <c r="I70" s="33">
        <v>0</v>
      </c>
      <c r="J70" s="36"/>
      <c r="M70" s="7">
        <v>0</v>
      </c>
      <c r="O70" s="47" t="s">
        <v>205</v>
      </c>
    </row>
    <row r="71" spans="1:20">
      <c r="A71" s="32" t="s">
        <v>41</v>
      </c>
      <c r="B71" s="32">
        <v>39.17</v>
      </c>
      <c r="C71" s="32">
        <v>8.94</v>
      </c>
      <c r="D71" s="32">
        <v>299.20999999999998</v>
      </c>
      <c r="F71" s="46" t="s">
        <v>206</v>
      </c>
      <c r="G71" s="54">
        <v>75.740613911034899</v>
      </c>
      <c r="H71" s="54">
        <v>6.6346513035175896</v>
      </c>
      <c r="I71" s="55">
        <v>221.45179627641701</v>
      </c>
      <c r="J71" s="36"/>
      <c r="M71" s="7">
        <v>30.859100442762099</v>
      </c>
      <c r="O71" s="47" t="s">
        <v>207</v>
      </c>
      <c r="P71" s="9">
        <v>221.45179627641701</v>
      </c>
      <c r="Q71" s="9">
        <v>221.45179627641701</v>
      </c>
      <c r="R71" s="9">
        <v>221.45179627641701</v>
      </c>
      <c r="S71" s="9">
        <v>221.45179627641701</v>
      </c>
      <c r="T71" s="1">
        <v>0</v>
      </c>
    </row>
    <row r="72" spans="1:20">
      <c r="A72" s="32" t="s">
        <v>47</v>
      </c>
      <c r="B72" s="32">
        <v>41.27</v>
      </c>
      <c r="C72" s="32">
        <v>7.45</v>
      </c>
      <c r="D72" s="32">
        <v>248.51</v>
      </c>
      <c r="F72" s="46" t="s">
        <v>208</v>
      </c>
      <c r="G72" s="54">
        <v>104.753834464189</v>
      </c>
      <c r="H72" s="54">
        <v>4.88546055934005</v>
      </c>
      <c r="I72" s="55">
        <v>161.455027110754</v>
      </c>
      <c r="J72" s="36"/>
      <c r="M72" s="7">
        <v>213.769030224581</v>
      </c>
      <c r="O72" s="47" t="s">
        <v>209</v>
      </c>
      <c r="P72" s="9">
        <v>161.455027110754</v>
      </c>
      <c r="Q72" s="9">
        <v>161.455027110754</v>
      </c>
      <c r="R72" s="9">
        <v>161.455027110754</v>
      </c>
      <c r="S72" s="9">
        <v>161.455027110754</v>
      </c>
      <c r="T72" s="1">
        <v>0</v>
      </c>
    </row>
    <row r="73" spans="1:20">
      <c r="F73" s="49" t="s">
        <v>210</v>
      </c>
      <c r="G73" s="15">
        <v>0</v>
      </c>
      <c r="H73" s="15">
        <v>0</v>
      </c>
      <c r="I73" s="33">
        <v>0</v>
      </c>
      <c r="J73" s="36"/>
      <c r="M73" s="7">
        <v>0</v>
      </c>
      <c r="O73" s="47" t="s">
        <v>211</v>
      </c>
    </row>
    <row r="74" spans="1:20">
      <c r="F74" s="49" t="s">
        <v>212</v>
      </c>
      <c r="G74" s="15">
        <v>0</v>
      </c>
      <c r="H74" s="15">
        <v>0</v>
      </c>
      <c r="I74" s="33">
        <v>0</v>
      </c>
      <c r="J74" s="36"/>
      <c r="M74" s="7">
        <v>0</v>
      </c>
      <c r="O74" s="47" t="s">
        <v>213</v>
      </c>
    </row>
    <row r="75" spans="1:20">
      <c r="F75" s="46" t="s">
        <v>214</v>
      </c>
      <c r="G75" s="15">
        <v>0</v>
      </c>
      <c r="H75" s="15">
        <v>0</v>
      </c>
      <c r="I75" s="33">
        <v>0</v>
      </c>
      <c r="J75" s="36"/>
      <c r="M75" s="7">
        <v>0</v>
      </c>
      <c r="O75" s="47" t="s">
        <v>215</v>
      </c>
    </row>
    <row r="76" spans="1:20">
      <c r="F76" s="49" t="s">
        <v>216</v>
      </c>
      <c r="G76" s="15">
        <v>0</v>
      </c>
      <c r="H76" s="15">
        <v>0</v>
      </c>
      <c r="I76" s="33">
        <v>0</v>
      </c>
      <c r="J76" s="36"/>
      <c r="M76" s="7">
        <v>0</v>
      </c>
      <c r="O76" s="47" t="s">
        <v>217</v>
      </c>
    </row>
    <row r="77" spans="1:20">
      <c r="F77" s="46" t="s">
        <v>218</v>
      </c>
      <c r="G77" s="54">
        <v>93.0800096997108</v>
      </c>
      <c r="H77" s="54">
        <v>4.6339912776397503</v>
      </c>
      <c r="I77" s="55">
        <v>155.97879975608899</v>
      </c>
      <c r="J77" s="36"/>
      <c r="M77" s="7">
        <v>93.0800096997108</v>
      </c>
      <c r="O77" s="47" t="s">
        <v>219</v>
      </c>
      <c r="P77" s="9">
        <v>155.97879975608899</v>
      </c>
      <c r="Q77" s="9">
        <v>155.97879975608899</v>
      </c>
      <c r="R77" s="9">
        <v>155.97879975608899</v>
      </c>
      <c r="S77" s="9">
        <v>155.97879975608899</v>
      </c>
      <c r="T77" s="1">
        <v>0</v>
      </c>
    </row>
    <row r="78" spans="1:20">
      <c r="A78" s="32" t="s">
        <v>220</v>
      </c>
      <c r="B78" s="32" t="s">
        <v>221</v>
      </c>
      <c r="C78" s="32" t="s">
        <v>222</v>
      </c>
      <c r="D78" s="32" t="s">
        <v>223</v>
      </c>
      <c r="F78" s="49" t="s">
        <v>224</v>
      </c>
      <c r="G78" s="15">
        <v>0</v>
      </c>
      <c r="H78" s="15">
        <v>0</v>
      </c>
      <c r="I78" s="33">
        <v>0</v>
      </c>
      <c r="J78" s="36"/>
      <c r="M78" s="7">
        <v>0</v>
      </c>
      <c r="O78" s="47" t="s">
        <v>225</v>
      </c>
    </row>
    <row r="79" spans="1:20">
      <c r="A79" s="32" t="s">
        <v>14</v>
      </c>
      <c r="B79" s="32">
        <v>56.75</v>
      </c>
      <c r="C79" s="32">
        <v>13.54</v>
      </c>
      <c r="D79" s="32">
        <v>456.95</v>
      </c>
      <c r="F79" s="46" t="s">
        <v>226</v>
      </c>
      <c r="G79" s="15">
        <v>0</v>
      </c>
      <c r="H79" s="15">
        <v>0</v>
      </c>
      <c r="I79" s="33">
        <v>0</v>
      </c>
      <c r="J79" s="36"/>
      <c r="M79" s="7">
        <v>0</v>
      </c>
      <c r="O79" s="47" t="s">
        <v>227</v>
      </c>
    </row>
    <row r="80" spans="1:20">
      <c r="A80" s="32" t="s">
        <v>17</v>
      </c>
      <c r="B80" s="32">
        <v>29.07</v>
      </c>
      <c r="C80" s="32">
        <v>10.25</v>
      </c>
      <c r="D80" s="32">
        <v>350.48</v>
      </c>
      <c r="F80" s="46" t="s">
        <v>228</v>
      </c>
      <c r="G80" s="15">
        <v>0</v>
      </c>
      <c r="H80" s="15">
        <v>0</v>
      </c>
      <c r="I80" s="33">
        <v>0</v>
      </c>
      <c r="J80" s="36"/>
      <c r="M80" s="7">
        <v>0</v>
      </c>
      <c r="O80" s="47" t="s">
        <v>229</v>
      </c>
    </row>
    <row r="81" spans="1:20">
      <c r="A81" s="32" t="s">
        <v>23</v>
      </c>
      <c r="B81" s="32">
        <v>27.77</v>
      </c>
      <c r="C81" s="32">
        <v>8.14</v>
      </c>
      <c r="D81" s="32">
        <v>282.68</v>
      </c>
      <c r="F81" s="46" t="s">
        <v>230</v>
      </c>
      <c r="G81" s="54">
        <v>45.5791255758893</v>
      </c>
      <c r="H81" s="54">
        <v>15.536015615200199</v>
      </c>
      <c r="I81" s="55">
        <v>501.095168334368</v>
      </c>
      <c r="J81" s="36"/>
      <c r="M81" s="7">
        <v>43.216497986220197</v>
      </c>
      <c r="O81" s="47" t="s">
        <v>231</v>
      </c>
      <c r="P81" s="9">
        <v>501.095168334368</v>
      </c>
      <c r="Q81" s="9">
        <v>387.04409834066399</v>
      </c>
      <c r="R81" s="9">
        <v>501.095168334368</v>
      </c>
      <c r="S81" s="9">
        <v>615.14623832807104</v>
      </c>
      <c r="T81" s="1">
        <v>161.292569988259</v>
      </c>
    </row>
    <row r="82" spans="1:20">
      <c r="A82" s="32" t="s">
        <v>29</v>
      </c>
      <c r="B82" s="32">
        <v>80.86</v>
      </c>
      <c r="C82" s="32">
        <v>15.49</v>
      </c>
      <c r="D82" s="32">
        <v>519.42999999999995</v>
      </c>
      <c r="F82" s="46" t="s">
        <v>232</v>
      </c>
      <c r="G82" s="54">
        <v>67.309915207968004</v>
      </c>
      <c r="H82" s="54">
        <v>10.341920247094601</v>
      </c>
      <c r="I82" s="55">
        <v>347.70073315033898</v>
      </c>
      <c r="J82" s="36"/>
      <c r="M82" s="7">
        <v>89.583771515048696</v>
      </c>
      <c r="O82" s="47" t="s">
        <v>233</v>
      </c>
      <c r="P82" s="9">
        <v>347.70073315033898</v>
      </c>
      <c r="Q82" s="9">
        <v>135.86103679899301</v>
      </c>
      <c r="R82" s="9">
        <v>347.70073315033801</v>
      </c>
      <c r="S82" s="9">
        <v>559.540429501684</v>
      </c>
      <c r="T82" s="1">
        <v>299.58657162907002</v>
      </c>
    </row>
    <row r="83" spans="1:20">
      <c r="A83" s="32" t="s">
        <v>35</v>
      </c>
      <c r="B83" s="32">
        <v>23.53</v>
      </c>
      <c r="C83" s="32">
        <v>5.07</v>
      </c>
      <c r="D83" s="32">
        <v>165.43</v>
      </c>
      <c r="F83" s="46" t="s">
        <v>234</v>
      </c>
      <c r="G83" s="54">
        <v>61.959100782311502</v>
      </c>
      <c r="H83" s="54">
        <v>6.1277642653511597</v>
      </c>
      <c r="I83" s="55">
        <v>203.720556352622</v>
      </c>
      <c r="J83" s="36"/>
      <c r="M83" s="7">
        <v>617.29769735593197</v>
      </c>
      <c r="O83" s="47" t="s">
        <v>235</v>
      </c>
      <c r="P83" s="9">
        <v>203.720556352622</v>
      </c>
      <c r="Q83" s="9">
        <v>162.773981884569</v>
      </c>
      <c r="R83" s="9">
        <v>163.68011754182001</v>
      </c>
      <c r="S83" s="9">
        <v>254.67724052337701</v>
      </c>
      <c r="T83" s="1">
        <v>70.400981519212905</v>
      </c>
    </row>
    <row r="84" spans="1:20">
      <c r="A84" s="32" t="s">
        <v>38</v>
      </c>
      <c r="B84" s="32">
        <v>28.39</v>
      </c>
      <c r="C84" s="32">
        <v>6.48</v>
      </c>
      <c r="D84" s="32">
        <v>416.96</v>
      </c>
      <c r="F84" s="46" t="s">
        <v>236</v>
      </c>
      <c r="G84" s="54">
        <v>51.535874718772597</v>
      </c>
      <c r="H84" s="54">
        <v>6.3071540055681403</v>
      </c>
      <c r="I84" s="55">
        <v>227.673212376132</v>
      </c>
      <c r="J84" s="36"/>
      <c r="M84" s="7">
        <v>280.63278807974001</v>
      </c>
      <c r="O84" s="47" t="s">
        <v>237</v>
      </c>
      <c r="P84" s="9">
        <v>227.673212376132</v>
      </c>
      <c r="Q84" s="9">
        <v>175.688028556684</v>
      </c>
      <c r="R84" s="9">
        <v>198.44821214294601</v>
      </c>
      <c r="S84" s="9">
        <v>261.14707124601603</v>
      </c>
      <c r="T84" s="1">
        <v>77.678404110333801</v>
      </c>
    </row>
    <row r="85" spans="1:20">
      <c r="A85" s="32" t="s">
        <v>41</v>
      </c>
      <c r="B85" s="32">
        <v>62.89</v>
      </c>
      <c r="C85" s="32">
        <v>14.62</v>
      </c>
      <c r="D85" s="32">
        <v>492.25</v>
      </c>
      <c r="F85" s="46" t="s">
        <v>238</v>
      </c>
      <c r="G85" s="54">
        <v>70.620602573155594</v>
      </c>
      <c r="H85" s="54">
        <v>22.367071940677199</v>
      </c>
      <c r="I85" s="55">
        <v>755.33792385440199</v>
      </c>
      <c r="J85" s="36"/>
      <c r="M85" s="7">
        <v>124.267837825537</v>
      </c>
      <c r="O85" s="47" t="s">
        <v>239</v>
      </c>
      <c r="P85" s="9">
        <v>755.33792385440199</v>
      </c>
      <c r="Q85" s="9">
        <v>200.978002352434</v>
      </c>
      <c r="R85" s="9">
        <v>238.74458134343499</v>
      </c>
      <c r="S85" s="9">
        <v>1006.69204833883</v>
      </c>
      <c r="T85" s="1">
        <v>1016.76004792401</v>
      </c>
    </row>
    <row r="86" spans="1:20">
      <c r="A86" s="32" t="s">
        <v>47</v>
      </c>
      <c r="B86" s="32">
        <v>30.64</v>
      </c>
      <c r="C86" s="32">
        <v>11.52</v>
      </c>
      <c r="D86" s="32">
        <v>376.04</v>
      </c>
      <c r="F86" s="46" t="s">
        <v>240</v>
      </c>
      <c r="G86" s="54">
        <v>58.202177890113603</v>
      </c>
      <c r="H86" s="54">
        <v>8.5742227733693497</v>
      </c>
      <c r="I86" s="55">
        <v>286.24179692898002</v>
      </c>
      <c r="J86" s="36"/>
      <c r="M86" s="7">
        <v>402.58047278263399</v>
      </c>
      <c r="O86" s="47" t="s">
        <v>241</v>
      </c>
      <c r="P86" s="9">
        <v>286.24179692898002</v>
      </c>
      <c r="Q86" s="9">
        <v>159.630291708752</v>
      </c>
      <c r="R86" s="9">
        <v>286.24179692898002</v>
      </c>
      <c r="S86" s="9">
        <v>412.85330214920799</v>
      </c>
      <c r="T86" s="1">
        <v>179.055707834918</v>
      </c>
    </row>
    <row r="87" spans="1:20">
      <c r="F87" s="46" t="s">
        <v>242</v>
      </c>
      <c r="G87" s="15">
        <v>0</v>
      </c>
      <c r="H87" s="15">
        <v>0</v>
      </c>
      <c r="I87" s="33">
        <v>0</v>
      </c>
      <c r="J87" s="36"/>
      <c r="M87" s="7">
        <v>0</v>
      </c>
      <c r="O87" s="47" t="s">
        <v>243</v>
      </c>
    </row>
    <row r="88" spans="1:20">
      <c r="F88" s="46" t="s">
        <v>244</v>
      </c>
      <c r="G88" s="15">
        <v>0</v>
      </c>
      <c r="H88" s="15">
        <v>0</v>
      </c>
      <c r="I88" s="33">
        <v>0</v>
      </c>
      <c r="J88" s="36"/>
      <c r="M88" s="7">
        <v>0</v>
      </c>
      <c r="O88" s="47" t="s">
        <v>245</v>
      </c>
    </row>
    <row r="89" spans="1:20">
      <c r="F89" s="46" t="s">
        <v>246</v>
      </c>
      <c r="G89" s="15">
        <v>0</v>
      </c>
      <c r="H89" s="15">
        <v>0</v>
      </c>
      <c r="I89" s="33">
        <v>0</v>
      </c>
      <c r="J89" s="36"/>
      <c r="M89" s="7">
        <v>0</v>
      </c>
      <c r="O89" s="47" t="s">
        <v>247</v>
      </c>
    </row>
    <row r="90" spans="1:20">
      <c r="F90" s="46" t="s">
        <v>248</v>
      </c>
      <c r="G90" s="15">
        <v>0</v>
      </c>
      <c r="H90" s="15">
        <v>0</v>
      </c>
      <c r="I90" s="33">
        <v>0</v>
      </c>
      <c r="J90" s="36"/>
      <c r="M90" s="7">
        <v>0</v>
      </c>
      <c r="O90" s="47" t="s">
        <v>249</v>
      </c>
    </row>
    <row r="91" spans="1:20">
      <c r="F91" s="49" t="s">
        <v>250</v>
      </c>
      <c r="G91" s="54">
        <v>62.224177263641501</v>
      </c>
      <c r="H91" s="54">
        <v>13.0594119836811</v>
      </c>
      <c r="I91" s="55">
        <v>435.729997357397</v>
      </c>
      <c r="J91" s="36"/>
      <c r="M91" s="7">
        <v>322.84530392656802</v>
      </c>
      <c r="O91" s="47" t="s">
        <v>251</v>
      </c>
      <c r="P91" s="9">
        <v>435.729997357397</v>
      </c>
      <c r="Q91" s="9">
        <v>306.68349342284603</v>
      </c>
      <c r="R91" s="9">
        <v>455.32874482338201</v>
      </c>
      <c r="S91" s="9">
        <v>564.77650129194797</v>
      </c>
      <c r="T91" s="1">
        <v>180.14574145672901</v>
      </c>
    </row>
    <row r="92" spans="1:20">
      <c r="F92" s="46" t="s">
        <v>252</v>
      </c>
      <c r="G92" s="15">
        <v>0</v>
      </c>
      <c r="H92" s="15">
        <v>0</v>
      </c>
      <c r="I92" s="33">
        <v>0</v>
      </c>
      <c r="J92" s="36"/>
      <c r="M92" s="7">
        <v>0</v>
      </c>
      <c r="O92" s="47" t="s">
        <v>253</v>
      </c>
    </row>
    <row r="93" spans="1:20">
      <c r="F93" s="46" t="s">
        <v>254</v>
      </c>
      <c r="G93" s="54">
        <v>48.366340966701003</v>
      </c>
      <c r="H93" s="54">
        <v>12.1272511563254</v>
      </c>
      <c r="I93" s="55">
        <v>407.61152996732898</v>
      </c>
      <c r="J93" s="36"/>
      <c r="M93" s="7">
        <v>48.327651068598499</v>
      </c>
      <c r="O93" s="47" t="s">
        <v>255</v>
      </c>
      <c r="P93" s="9">
        <v>407.61152996732898</v>
      </c>
      <c r="Q93" s="9">
        <v>342.68508015641999</v>
      </c>
      <c r="R93" s="9">
        <v>407.61152996732898</v>
      </c>
      <c r="S93" s="9">
        <v>472.53797977823899</v>
      </c>
      <c r="T93" s="1">
        <v>91.819865879324396</v>
      </c>
    </row>
    <row r="94" spans="1:20">
      <c r="F94" s="46" t="s">
        <v>256</v>
      </c>
      <c r="G94" s="54">
        <v>29.049578405127502</v>
      </c>
      <c r="H94" s="54">
        <v>13.209607142957299</v>
      </c>
      <c r="I94" s="55">
        <v>437.99544374721597</v>
      </c>
      <c r="J94" s="36"/>
      <c r="M94" s="7">
        <v>29.049578405127399</v>
      </c>
      <c r="O94" s="47" t="s">
        <v>257</v>
      </c>
      <c r="P94" s="9">
        <v>437.99544374721597</v>
      </c>
      <c r="Q94" s="9">
        <v>413.46136546806503</v>
      </c>
      <c r="R94" s="9">
        <v>437.38552632386501</v>
      </c>
      <c r="S94" s="9">
        <v>462.68200138220499</v>
      </c>
      <c r="T94" s="1">
        <v>32.818008257995501</v>
      </c>
    </row>
    <row r="95" spans="1:20">
      <c r="F95" s="46" t="s">
        <v>258</v>
      </c>
      <c r="G95" s="54">
        <v>74.693610076065497</v>
      </c>
      <c r="H95" s="54">
        <v>11.299438680629301</v>
      </c>
      <c r="I95" s="55">
        <v>370.73786307650101</v>
      </c>
      <c r="J95" s="36"/>
      <c r="M95" s="7">
        <v>289.58266465434002</v>
      </c>
      <c r="O95" s="47" t="s">
        <v>259</v>
      </c>
      <c r="P95" s="9">
        <v>370.73786307650101</v>
      </c>
      <c r="Q95" s="9">
        <v>207.672519509723</v>
      </c>
      <c r="R95" s="9">
        <v>277.63043654657798</v>
      </c>
      <c r="S95" s="9">
        <v>461.29896791448499</v>
      </c>
      <c r="T95" s="1">
        <v>250.26242234972599</v>
      </c>
    </row>
    <row r="96" spans="1:20">
      <c r="F96" s="46" t="s">
        <v>260</v>
      </c>
      <c r="G96" s="54">
        <v>75.179195953970407</v>
      </c>
      <c r="H96" s="54">
        <v>7.6687308257794102</v>
      </c>
      <c r="I96" s="55">
        <v>455.74133776954</v>
      </c>
      <c r="J96" s="36"/>
      <c r="M96" s="7">
        <v>421.35808094995201</v>
      </c>
      <c r="O96" s="47" t="s">
        <v>261</v>
      </c>
      <c r="P96" s="9">
        <v>455.74133776954</v>
      </c>
      <c r="Q96" s="9">
        <v>455.74133776954</v>
      </c>
      <c r="R96" s="9">
        <v>455.74133776954</v>
      </c>
      <c r="S96" s="9">
        <v>455.74133776954</v>
      </c>
      <c r="T96" s="1">
        <v>0</v>
      </c>
    </row>
    <row r="97" spans="6:20">
      <c r="F97" s="49" t="s">
        <v>262</v>
      </c>
      <c r="G97" s="54">
        <v>65.088384189415905</v>
      </c>
      <c r="H97" s="54">
        <v>15.396279546284299</v>
      </c>
      <c r="I97" s="55">
        <v>510.25109880804399</v>
      </c>
      <c r="J97" s="36"/>
      <c r="M97" s="7">
        <v>105.532373883265</v>
      </c>
      <c r="O97" s="47" t="s">
        <v>263</v>
      </c>
      <c r="P97" s="9">
        <v>510.25109880804399</v>
      </c>
      <c r="Q97" s="9">
        <v>293.32550841074601</v>
      </c>
      <c r="R97" s="9">
        <v>384.31221020092698</v>
      </c>
      <c r="S97" s="9">
        <v>787.03123243141704</v>
      </c>
      <c r="T97" s="1">
        <v>288.09752661072503</v>
      </c>
    </row>
    <row r="98" spans="6:20">
      <c r="F98" s="46" t="s">
        <v>264</v>
      </c>
      <c r="G98" s="54">
        <v>76.120891412238805</v>
      </c>
      <c r="H98" s="54">
        <v>7.9433048620971798</v>
      </c>
      <c r="I98" s="55">
        <v>265.374662365549</v>
      </c>
      <c r="J98" s="36"/>
      <c r="M98" s="7">
        <v>84.223550994795801</v>
      </c>
      <c r="O98" s="47" t="s">
        <v>265</v>
      </c>
      <c r="P98" s="9">
        <v>265.374662365549</v>
      </c>
      <c r="Q98" s="9">
        <v>151.65784121922701</v>
      </c>
      <c r="R98" s="9">
        <v>155.08404154863101</v>
      </c>
      <c r="S98" s="9">
        <v>328.486928923976</v>
      </c>
      <c r="T98" s="1">
        <v>216.41280563017699</v>
      </c>
    </row>
    <row r="99" spans="6:20">
      <c r="F99" s="46" t="s">
        <v>266</v>
      </c>
      <c r="G99" s="54">
        <v>65.836605664942695</v>
      </c>
      <c r="H99" s="54">
        <v>7.0977188891588803</v>
      </c>
      <c r="I99" s="55">
        <v>235.81925823319401</v>
      </c>
      <c r="J99" s="36"/>
      <c r="M99" s="7">
        <v>86.948160162901004</v>
      </c>
      <c r="O99" s="47" t="s">
        <v>267</v>
      </c>
      <c r="P99" s="9">
        <v>235.81925823319401</v>
      </c>
      <c r="Q99" s="9">
        <v>235.81925823319401</v>
      </c>
      <c r="R99" s="9">
        <v>235.81925823319401</v>
      </c>
      <c r="S99" s="9">
        <v>235.81925823319401</v>
      </c>
      <c r="T99" s="1">
        <v>0</v>
      </c>
    </row>
    <row r="100" spans="6:20">
      <c r="F100" s="49" t="s">
        <v>268</v>
      </c>
      <c r="G100" s="54">
        <v>48.480864859617803</v>
      </c>
      <c r="H100" s="54">
        <v>17.207136446531699</v>
      </c>
      <c r="I100" s="55">
        <v>517.03067943822396</v>
      </c>
      <c r="J100" s="36"/>
      <c r="M100" s="7">
        <v>77.642567160366298</v>
      </c>
      <c r="O100" s="47" t="s">
        <v>269</v>
      </c>
      <c r="P100" s="9">
        <v>517.03067943822396</v>
      </c>
      <c r="Q100" s="9">
        <v>258.692596631784</v>
      </c>
      <c r="R100" s="9">
        <v>344.68497077819097</v>
      </c>
      <c r="S100" s="9">
        <v>519.84026110946695</v>
      </c>
      <c r="T100" s="1">
        <v>545.03568557423</v>
      </c>
    </row>
    <row r="101" spans="6:20">
      <c r="F101" s="46" t="s">
        <v>270</v>
      </c>
      <c r="G101" s="15">
        <v>0</v>
      </c>
      <c r="H101" s="15">
        <v>0</v>
      </c>
      <c r="I101" s="33">
        <v>0</v>
      </c>
      <c r="J101" s="36"/>
      <c r="M101" s="7">
        <v>0</v>
      </c>
      <c r="O101" s="47" t="s">
        <v>271</v>
      </c>
    </row>
    <row r="102" spans="6:20">
      <c r="F102" s="49" t="s">
        <v>272</v>
      </c>
      <c r="G102" s="54">
        <v>49.4514909855531</v>
      </c>
      <c r="H102" s="54">
        <v>15.1335570926302</v>
      </c>
      <c r="I102" s="55">
        <v>501.81329543255703</v>
      </c>
      <c r="J102" s="36"/>
      <c r="M102" s="7">
        <v>213.56959036675801</v>
      </c>
      <c r="O102" s="47" t="s">
        <v>273</v>
      </c>
      <c r="P102" s="9">
        <v>501.81329543255703</v>
      </c>
      <c r="Q102" s="9">
        <v>349.71323488210197</v>
      </c>
      <c r="R102" s="9">
        <v>422.99350614225</v>
      </c>
      <c r="S102" s="9">
        <v>552.41917561929495</v>
      </c>
      <c r="T102" s="1">
        <v>264.17185805834202</v>
      </c>
    </row>
    <row r="103" spans="6:20">
      <c r="F103" s="49" t="s">
        <v>274</v>
      </c>
      <c r="G103" s="15">
        <v>0</v>
      </c>
      <c r="H103" s="15">
        <v>0</v>
      </c>
      <c r="I103" s="33">
        <v>0</v>
      </c>
      <c r="J103" s="36"/>
      <c r="M103" s="7">
        <v>0</v>
      </c>
      <c r="O103" s="47" t="s">
        <v>275</v>
      </c>
    </row>
    <row r="104" spans="6:20">
      <c r="F104" s="49" t="s">
        <v>276</v>
      </c>
      <c r="G104" s="54">
        <v>58.473804013092597</v>
      </c>
      <c r="H104" s="54">
        <v>12.821529583646999</v>
      </c>
      <c r="I104" s="55">
        <v>428.59076710478502</v>
      </c>
      <c r="J104" s="36"/>
      <c r="M104" s="7">
        <v>115.020602222477</v>
      </c>
      <c r="O104" s="47" t="s">
        <v>277</v>
      </c>
      <c r="P104" s="9">
        <v>428.59076710478502</v>
      </c>
      <c r="Q104" s="9">
        <v>350.34951374780297</v>
      </c>
      <c r="R104" s="9">
        <v>381.55079998384599</v>
      </c>
      <c r="S104" s="9">
        <v>418.89215456303901</v>
      </c>
      <c r="T104" s="1">
        <v>196.05571845035701</v>
      </c>
    </row>
    <row r="105" spans="6:20">
      <c r="F105" s="46" t="s">
        <v>278</v>
      </c>
      <c r="G105" s="15">
        <v>0</v>
      </c>
      <c r="H105" s="15">
        <v>0</v>
      </c>
      <c r="I105" s="33">
        <v>0</v>
      </c>
      <c r="J105" s="36"/>
      <c r="M105" s="7">
        <v>0</v>
      </c>
      <c r="O105" s="47" t="s">
        <v>279</v>
      </c>
    </row>
    <row r="106" spans="6:20">
      <c r="F106" s="46" t="s">
        <v>280</v>
      </c>
      <c r="G106" s="54">
        <v>93.677468939073705</v>
      </c>
      <c r="H106" s="54">
        <v>4.2445031726242499</v>
      </c>
      <c r="I106" s="55">
        <v>142.07092921224901</v>
      </c>
      <c r="J106" s="36"/>
      <c r="M106" s="7">
        <v>121.384061558761</v>
      </c>
      <c r="O106" s="47" t="s">
        <v>281</v>
      </c>
      <c r="P106" s="9">
        <v>142.07092921224901</v>
      </c>
      <c r="Q106" s="9">
        <v>142.07092921224901</v>
      </c>
      <c r="R106" s="9">
        <v>142.07092921224901</v>
      </c>
      <c r="S106" s="9">
        <v>142.07092921224901</v>
      </c>
      <c r="T106" s="1">
        <v>0</v>
      </c>
    </row>
    <row r="107" spans="6:20">
      <c r="F107" s="46" t="s">
        <v>282</v>
      </c>
      <c r="G107" s="15">
        <v>0</v>
      </c>
      <c r="H107" s="15">
        <v>0</v>
      </c>
      <c r="I107" s="33">
        <v>0</v>
      </c>
      <c r="J107" s="36"/>
      <c r="M107" s="7">
        <v>0</v>
      </c>
      <c r="O107" s="47" t="s">
        <v>283</v>
      </c>
    </row>
    <row r="108" spans="6:20">
      <c r="F108" s="49" t="s">
        <v>284</v>
      </c>
      <c r="G108" s="15">
        <v>0</v>
      </c>
      <c r="H108" s="15">
        <v>0</v>
      </c>
      <c r="I108" s="33">
        <v>0</v>
      </c>
      <c r="J108" s="36"/>
      <c r="M108" s="7">
        <v>0</v>
      </c>
      <c r="O108" s="47" t="s">
        <v>285</v>
      </c>
    </row>
    <row r="109" spans="6:20">
      <c r="F109" s="46" t="s">
        <v>286</v>
      </c>
      <c r="G109" s="15">
        <v>0</v>
      </c>
      <c r="H109" s="15">
        <v>0</v>
      </c>
      <c r="I109" s="33">
        <v>0</v>
      </c>
      <c r="J109" s="36"/>
      <c r="M109" s="7">
        <v>0</v>
      </c>
      <c r="O109" s="47" t="s">
        <v>287</v>
      </c>
    </row>
    <row r="110" spans="6:20">
      <c r="F110" s="49" t="s">
        <v>288</v>
      </c>
      <c r="G110" s="54">
        <v>48.083395572978098</v>
      </c>
      <c r="H110" s="54">
        <v>16.352142189245399</v>
      </c>
      <c r="I110" s="55">
        <v>531.49161762844199</v>
      </c>
      <c r="J110" s="36"/>
      <c r="M110" s="7">
        <v>40.4506886930007</v>
      </c>
      <c r="O110" s="47" t="s">
        <v>289</v>
      </c>
      <c r="P110" s="9">
        <v>531.49161762844199</v>
      </c>
      <c r="Q110" s="9">
        <v>366.76617900402698</v>
      </c>
      <c r="R110" s="9">
        <v>531.49161762844199</v>
      </c>
      <c r="S110" s="9">
        <v>696.21705625285597</v>
      </c>
      <c r="T110" s="1">
        <v>232.95694937050399</v>
      </c>
    </row>
    <row r="111" spans="6:20">
      <c r="F111" s="46" t="s">
        <v>290</v>
      </c>
      <c r="G111" s="54">
        <v>60.877928411119598</v>
      </c>
      <c r="H111" s="54">
        <v>8.2193463370770399</v>
      </c>
      <c r="I111" s="55">
        <v>266.62206995596802</v>
      </c>
      <c r="J111" s="36"/>
      <c r="M111" s="7">
        <v>90.387706908048202</v>
      </c>
      <c r="O111" s="47" t="s">
        <v>291</v>
      </c>
      <c r="P111" s="9">
        <v>266.62206995596802</v>
      </c>
      <c r="Q111" s="9">
        <v>189.48633712944601</v>
      </c>
      <c r="R111" s="9">
        <v>193.47987201468601</v>
      </c>
      <c r="S111" s="9">
        <v>362.04335226780898</v>
      </c>
      <c r="T111" s="1">
        <v>131.324329831695</v>
      </c>
    </row>
    <row r="112" spans="6:20">
      <c r="F112" s="46" t="s">
        <v>292</v>
      </c>
      <c r="G112" s="15">
        <v>0</v>
      </c>
      <c r="H112" s="15">
        <v>0</v>
      </c>
      <c r="I112" s="33">
        <v>0</v>
      </c>
      <c r="J112" s="36"/>
      <c r="M112" s="7">
        <v>0</v>
      </c>
      <c r="O112" s="47" t="s">
        <v>293</v>
      </c>
    </row>
    <row r="113" spans="6:20">
      <c r="F113" s="46" t="s">
        <v>294</v>
      </c>
      <c r="G113" s="54">
        <v>92.099422318930294</v>
      </c>
      <c r="H113" s="54">
        <v>5.5340628973496404</v>
      </c>
      <c r="I113" s="55">
        <v>176.343653033847</v>
      </c>
      <c r="J113" s="36"/>
      <c r="M113" s="7">
        <v>92.099422318930294</v>
      </c>
      <c r="O113" s="47" t="s">
        <v>295</v>
      </c>
      <c r="P113" s="9">
        <v>176.343653033847</v>
      </c>
      <c r="Q113" s="9">
        <v>176.343653033847</v>
      </c>
      <c r="R113" s="9">
        <v>176.343653033847</v>
      </c>
      <c r="S113" s="9">
        <v>176.343653033847</v>
      </c>
      <c r="T113" s="1">
        <v>0</v>
      </c>
    </row>
    <row r="114" spans="6:20">
      <c r="F114" s="46" t="s">
        <v>296</v>
      </c>
      <c r="G114" s="54">
        <v>65.798913383455897</v>
      </c>
      <c r="H114" s="54">
        <v>7.2122102310549403</v>
      </c>
      <c r="I114" s="55">
        <v>235.61472296181901</v>
      </c>
      <c r="J114" s="36"/>
      <c r="M114" s="7">
        <v>68.663381470667801</v>
      </c>
      <c r="O114" s="47" t="s">
        <v>297</v>
      </c>
      <c r="P114" s="9">
        <v>235.61472296181901</v>
      </c>
      <c r="Q114" s="9">
        <v>183.396215903697</v>
      </c>
      <c r="R114" s="9">
        <v>246.14896625620599</v>
      </c>
      <c r="S114" s="9">
        <v>287.83323001994199</v>
      </c>
      <c r="T114" s="1">
        <v>73.651775899901693</v>
      </c>
    </row>
    <row r="115" spans="6:20">
      <c r="F115" s="46" t="s">
        <v>298</v>
      </c>
      <c r="G115" s="15">
        <v>0</v>
      </c>
      <c r="H115" s="15">
        <v>0</v>
      </c>
      <c r="I115" s="33">
        <v>0</v>
      </c>
      <c r="J115" s="36"/>
      <c r="M115" s="7">
        <v>0</v>
      </c>
      <c r="O115" s="47" t="s">
        <v>299</v>
      </c>
    </row>
    <row r="116" spans="6:20">
      <c r="F116" s="46" t="s">
        <v>300</v>
      </c>
      <c r="G116" s="54">
        <v>54.794124006345001</v>
      </c>
      <c r="H116" s="54">
        <v>11.912175146887799</v>
      </c>
      <c r="I116" s="55">
        <v>377.086332281799</v>
      </c>
      <c r="J116" s="36"/>
      <c r="M116" s="7">
        <v>179.72763484641899</v>
      </c>
      <c r="O116" s="47" t="s">
        <v>301</v>
      </c>
      <c r="P116" s="9">
        <v>377.086332281799</v>
      </c>
      <c r="Q116" s="9">
        <v>267.75540390047303</v>
      </c>
      <c r="R116" s="9">
        <v>326.22347991097803</v>
      </c>
      <c r="S116" s="9">
        <v>412.38557572490402</v>
      </c>
      <c r="T116" s="1">
        <v>172.68048980459901</v>
      </c>
    </row>
    <row r="117" spans="6:20">
      <c r="F117" s="46" t="s">
        <v>302</v>
      </c>
      <c r="G117" s="15">
        <v>0</v>
      </c>
      <c r="H117" s="15">
        <v>0</v>
      </c>
      <c r="I117" s="33">
        <v>0</v>
      </c>
      <c r="J117" s="36"/>
      <c r="M117" s="7">
        <v>0</v>
      </c>
      <c r="O117" s="47" t="s">
        <v>303</v>
      </c>
    </row>
    <row r="118" spans="6:20">
      <c r="F118" s="46" t="s">
        <v>304</v>
      </c>
      <c r="G118" s="54">
        <v>66.171562528419699</v>
      </c>
      <c r="H118" s="54">
        <v>10.1073131821261</v>
      </c>
      <c r="I118" s="55">
        <v>339.64185378682203</v>
      </c>
      <c r="J118" s="36"/>
      <c r="M118" s="7">
        <v>133.631534711667</v>
      </c>
      <c r="O118" s="47" t="s">
        <v>305</v>
      </c>
      <c r="P118" s="9">
        <v>339.64185378682203</v>
      </c>
      <c r="Q118" s="9">
        <v>240.34819215168699</v>
      </c>
      <c r="R118" s="9">
        <v>311.10104801764101</v>
      </c>
      <c r="S118" s="9">
        <v>338.76277629595899</v>
      </c>
      <c r="T118" s="1">
        <v>239.03132516199901</v>
      </c>
    </row>
    <row r="119" spans="6:20">
      <c r="F119" s="46" t="s">
        <v>306</v>
      </c>
      <c r="G119" s="15">
        <v>0</v>
      </c>
      <c r="H119" s="15">
        <v>0</v>
      </c>
      <c r="I119" s="33">
        <v>0</v>
      </c>
      <c r="J119" s="36"/>
      <c r="M119" s="7">
        <v>0</v>
      </c>
      <c r="O119" s="47" t="s">
        <v>307</v>
      </c>
    </row>
    <row r="120" spans="6:20">
      <c r="F120" s="49" t="s">
        <v>308</v>
      </c>
      <c r="G120" s="54">
        <v>52.365492772804103</v>
      </c>
      <c r="H120" s="54">
        <v>13.2424125824023</v>
      </c>
      <c r="I120" s="55">
        <v>439.45429125634701</v>
      </c>
      <c r="J120" s="36"/>
      <c r="M120" s="7">
        <v>59.751776075190797</v>
      </c>
      <c r="O120" s="47" t="s">
        <v>309</v>
      </c>
      <c r="P120" s="9">
        <v>439.45429125634701</v>
      </c>
      <c r="Q120" s="9">
        <v>389.02653568326599</v>
      </c>
      <c r="R120" s="9">
        <v>415.03081893588899</v>
      </c>
      <c r="S120" s="9">
        <v>455.278264346507</v>
      </c>
      <c r="T120" s="1">
        <v>90.605709889484999</v>
      </c>
    </row>
    <row r="121" spans="6:20">
      <c r="F121" s="46" t="s">
        <v>310</v>
      </c>
      <c r="G121" s="54">
        <v>65.438709901825504</v>
      </c>
      <c r="H121" s="54">
        <v>6.93037408453515</v>
      </c>
      <c r="I121" s="55">
        <v>241.71134820790201</v>
      </c>
      <c r="J121" s="36"/>
      <c r="M121" s="7">
        <v>65.438709901825504</v>
      </c>
      <c r="O121" s="47" t="s">
        <v>311</v>
      </c>
      <c r="P121" s="9">
        <v>241.71134820790201</v>
      </c>
      <c r="Q121" s="9">
        <v>241.71134820790201</v>
      </c>
      <c r="R121" s="9">
        <v>241.71134820790201</v>
      </c>
      <c r="S121" s="9">
        <v>241.71134820790201</v>
      </c>
      <c r="T121" s="1">
        <v>0</v>
      </c>
    </row>
    <row r="122" spans="6:20">
      <c r="F122" s="46" t="s">
        <v>312</v>
      </c>
      <c r="G122" s="54">
        <v>50.009182351796397</v>
      </c>
      <c r="H122" s="54">
        <v>13.591696447803701</v>
      </c>
      <c r="I122" s="55">
        <v>451.70534105086</v>
      </c>
      <c r="J122" s="36"/>
      <c r="M122" s="7">
        <v>82.895583629904493</v>
      </c>
      <c r="O122" s="47" t="s">
        <v>20</v>
      </c>
      <c r="P122" s="9">
        <v>451.70534105086</v>
      </c>
      <c r="Q122" s="9">
        <v>312.311462166767</v>
      </c>
      <c r="R122" s="9">
        <v>398.02479834971302</v>
      </c>
      <c r="S122" s="9">
        <v>515.15071624919995</v>
      </c>
      <c r="T122" s="1">
        <v>357.501149713453</v>
      </c>
    </row>
    <row r="123" spans="6:20">
      <c r="F123" s="46" t="s">
        <v>313</v>
      </c>
      <c r="G123" s="54">
        <v>60.628689830351099</v>
      </c>
      <c r="H123" s="54">
        <v>8.8300094431128393</v>
      </c>
      <c r="I123" s="55">
        <v>284.58052521272998</v>
      </c>
      <c r="J123" s="36"/>
      <c r="M123" s="7">
        <v>80.739331029852806</v>
      </c>
      <c r="O123" s="47" t="s">
        <v>314</v>
      </c>
      <c r="P123" s="9">
        <v>284.58052521272998</v>
      </c>
      <c r="Q123" s="9">
        <v>266.63028212603098</v>
      </c>
      <c r="R123" s="9">
        <v>289.10196787920802</v>
      </c>
      <c r="S123" s="9">
        <v>301.04839987127798</v>
      </c>
      <c r="T123" s="1">
        <v>25.245499733842301</v>
      </c>
    </row>
    <row r="124" spans="6:20">
      <c r="F124" s="46" t="s">
        <v>315</v>
      </c>
      <c r="G124" s="15">
        <v>0</v>
      </c>
      <c r="H124" s="15">
        <v>0</v>
      </c>
      <c r="I124" s="33">
        <v>0</v>
      </c>
      <c r="J124" s="36"/>
      <c r="M124" s="7">
        <v>0</v>
      </c>
      <c r="O124" s="47" t="s">
        <v>316</v>
      </c>
    </row>
    <row r="125" spans="6:20">
      <c r="F125" s="46" t="s">
        <v>317</v>
      </c>
      <c r="G125" s="15">
        <v>0</v>
      </c>
      <c r="H125" s="15">
        <v>0</v>
      </c>
      <c r="I125" s="33">
        <v>0</v>
      </c>
      <c r="J125" s="36"/>
      <c r="M125" s="7">
        <v>0</v>
      </c>
      <c r="O125" s="47" t="s">
        <v>318</v>
      </c>
    </row>
    <row r="126" spans="6:20">
      <c r="F126" s="46" t="s">
        <v>319</v>
      </c>
      <c r="G126" s="15">
        <v>0</v>
      </c>
      <c r="H126" s="15">
        <v>0</v>
      </c>
      <c r="I126" s="33">
        <v>0</v>
      </c>
      <c r="J126" s="36"/>
      <c r="M126" s="7">
        <v>0</v>
      </c>
      <c r="O126" s="47" t="s">
        <v>320</v>
      </c>
    </row>
    <row r="127" spans="6:20">
      <c r="F127" s="46" t="s">
        <v>321</v>
      </c>
      <c r="G127" s="15">
        <v>0</v>
      </c>
      <c r="H127" s="15">
        <v>0</v>
      </c>
      <c r="I127" s="33">
        <v>0</v>
      </c>
      <c r="J127" s="36"/>
      <c r="M127" s="7">
        <v>0</v>
      </c>
      <c r="O127" s="47" t="s">
        <v>322</v>
      </c>
    </row>
    <row r="128" spans="6:20">
      <c r="F128" s="46" t="s">
        <v>323</v>
      </c>
      <c r="G128" s="15">
        <v>0</v>
      </c>
      <c r="H128" s="15">
        <v>0</v>
      </c>
      <c r="I128" s="33">
        <v>0</v>
      </c>
      <c r="J128" s="36"/>
      <c r="M128" s="7">
        <v>0</v>
      </c>
      <c r="O128" s="47" t="s">
        <v>324</v>
      </c>
    </row>
    <row r="129" spans="6:20">
      <c r="F129" s="46" t="s">
        <v>325</v>
      </c>
      <c r="G129" s="15">
        <v>0</v>
      </c>
      <c r="H129" s="15">
        <v>0</v>
      </c>
      <c r="I129" s="33">
        <v>0</v>
      </c>
      <c r="J129" s="36"/>
      <c r="M129" s="7">
        <v>0</v>
      </c>
      <c r="O129" s="47" t="s">
        <v>326</v>
      </c>
    </row>
    <row r="130" spans="6:20">
      <c r="F130" s="46" t="s">
        <v>327</v>
      </c>
      <c r="G130" s="54">
        <v>60.494072872271403</v>
      </c>
      <c r="H130" s="54">
        <v>9.2326902187566997</v>
      </c>
      <c r="I130" s="55">
        <v>327.42898452208198</v>
      </c>
      <c r="J130" s="36"/>
      <c r="M130" s="7">
        <v>74.210288206285497</v>
      </c>
      <c r="O130" s="47" t="s">
        <v>328</v>
      </c>
      <c r="P130" s="9">
        <v>327.42898452208198</v>
      </c>
      <c r="Q130" s="9">
        <v>194.735710516513</v>
      </c>
      <c r="R130" s="9">
        <v>239.36150480033101</v>
      </c>
      <c r="S130" s="9">
        <v>342.55806516303602</v>
      </c>
      <c r="T130" s="1">
        <v>225.39731026015099</v>
      </c>
    </row>
    <row r="131" spans="6:20">
      <c r="F131" s="46" t="s">
        <v>329</v>
      </c>
      <c r="G131" s="15">
        <v>0</v>
      </c>
      <c r="H131" s="15">
        <v>0</v>
      </c>
      <c r="I131" s="33">
        <v>0</v>
      </c>
      <c r="J131" s="36"/>
      <c r="M131" s="7">
        <v>0</v>
      </c>
      <c r="O131" s="47" t="s">
        <v>330</v>
      </c>
    </row>
    <row r="132" spans="6:20">
      <c r="F132" s="46" t="s">
        <v>331</v>
      </c>
      <c r="I132" s="6">
        <v>0</v>
      </c>
      <c r="J132" s="36"/>
    </row>
    <row r="133" spans="6:20">
      <c r="F133" s="46" t="s">
        <v>331</v>
      </c>
      <c r="I133" s="6">
        <v>0</v>
      </c>
      <c r="J133" s="36"/>
    </row>
    <row r="134" spans="6:20">
      <c r="F134" s="46" t="s">
        <v>331</v>
      </c>
      <c r="I134" s="6">
        <v>0</v>
      </c>
      <c r="J134" s="36"/>
    </row>
    <row r="135" spans="6:20">
      <c r="F135" s="46" t="s">
        <v>331</v>
      </c>
      <c r="I135" s="6">
        <v>0</v>
      </c>
      <c r="J135" s="36"/>
    </row>
    <row r="136" spans="6:20">
      <c r="F136" s="46" t="s">
        <v>331</v>
      </c>
      <c r="I136" s="6">
        <v>0</v>
      </c>
      <c r="J136" s="36"/>
    </row>
    <row r="137" spans="6:20">
      <c r="F137" s="46" t="s">
        <v>331</v>
      </c>
      <c r="I137" s="6">
        <v>0</v>
      </c>
      <c r="J137" s="36"/>
      <c r="O137" s="47" t="s">
        <v>332</v>
      </c>
    </row>
    <row r="138" spans="6:20">
      <c r="F138" s="46" t="s">
        <v>331</v>
      </c>
      <c r="I138" s="6">
        <v>0</v>
      </c>
      <c r="J138" s="36"/>
      <c r="O138" s="47" t="s">
        <v>332</v>
      </c>
    </row>
    <row r="139" spans="6:20">
      <c r="F139" s="46" t="s">
        <v>331</v>
      </c>
      <c r="I139" s="6">
        <v>0</v>
      </c>
      <c r="J139" s="36"/>
      <c r="O139" s="47" t="s">
        <v>332</v>
      </c>
    </row>
    <row r="140" spans="6:20">
      <c r="F140" s="46" t="s">
        <v>331</v>
      </c>
      <c r="I140" s="6">
        <v>0</v>
      </c>
      <c r="J140" s="36"/>
      <c r="O140" s="47" t="s">
        <v>332</v>
      </c>
    </row>
    <row r="141" spans="6:20">
      <c r="F141" s="46" t="s">
        <v>331</v>
      </c>
      <c r="I141" s="6">
        <v>0</v>
      </c>
      <c r="J141" s="36"/>
      <c r="O141" s="47" t="s">
        <v>332</v>
      </c>
    </row>
    <row r="142" spans="6:20">
      <c r="F142" s="46" t="s">
        <v>331</v>
      </c>
      <c r="I142" s="6">
        <v>0</v>
      </c>
      <c r="J142" s="36"/>
      <c r="O142" s="47" t="s">
        <v>332</v>
      </c>
    </row>
    <row r="143" spans="6:20">
      <c r="F143" s="46" t="s">
        <v>331</v>
      </c>
      <c r="I143" s="6">
        <v>0</v>
      </c>
      <c r="J143" s="36"/>
      <c r="O143" s="47" t="s">
        <v>332</v>
      </c>
    </row>
    <row r="144" spans="6:20">
      <c r="F144" s="46" t="s">
        <v>331</v>
      </c>
      <c r="I144" s="6">
        <v>0</v>
      </c>
      <c r="J144" s="36"/>
      <c r="O144" s="47" t="s">
        <v>332</v>
      </c>
    </row>
    <row r="145" spans="6:15">
      <c r="F145" s="46" t="s">
        <v>331</v>
      </c>
      <c r="I145" s="6">
        <v>0</v>
      </c>
      <c r="J145" s="36"/>
      <c r="O145" s="47" t="s">
        <v>332</v>
      </c>
    </row>
    <row r="146" spans="6:15">
      <c r="F146" s="46" t="s">
        <v>331</v>
      </c>
      <c r="I146" s="6">
        <v>0</v>
      </c>
      <c r="J146" s="36"/>
      <c r="O146" s="47" t="s">
        <v>332</v>
      </c>
    </row>
    <row r="147" spans="6:15">
      <c r="F147" s="46" t="s">
        <v>331</v>
      </c>
      <c r="I147" s="6">
        <v>0</v>
      </c>
      <c r="J147" s="36"/>
      <c r="O147" s="47" t="s">
        <v>332</v>
      </c>
    </row>
    <row r="148" spans="6:15">
      <c r="F148" s="46" t="s">
        <v>331</v>
      </c>
      <c r="I148" s="6">
        <v>0</v>
      </c>
      <c r="J148" s="36"/>
      <c r="O148" s="47" t="s">
        <v>332</v>
      </c>
    </row>
    <row r="149" spans="6:15">
      <c r="F149" s="46" t="s">
        <v>331</v>
      </c>
      <c r="I149" s="6">
        <v>0</v>
      </c>
      <c r="J149" s="36"/>
      <c r="O149" s="47" t="s">
        <v>332</v>
      </c>
    </row>
    <row r="150" spans="6:15">
      <c r="F150" s="46" t="s">
        <v>331</v>
      </c>
      <c r="I150" s="6">
        <v>0</v>
      </c>
      <c r="J150" s="36"/>
      <c r="O150" s="47" t="s">
        <v>332</v>
      </c>
    </row>
    <row r="151" spans="6:15">
      <c r="F151" s="46" t="s">
        <v>331</v>
      </c>
      <c r="I151" s="6">
        <v>0</v>
      </c>
      <c r="J151" s="36"/>
      <c r="O151" s="47" t="s">
        <v>332</v>
      </c>
    </row>
    <row r="152" spans="6:15">
      <c r="F152" s="46" t="s">
        <v>331</v>
      </c>
      <c r="I152" s="6">
        <v>0</v>
      </c>
      <c r="J152" s="36"/>
      <c r="O152" s="47" t="s">
        <v>332</v>
      </c>
    </row>
    <row r="153" spans="6:15">
      <c r="F153" s="46" t="s">
        <v>331</v>
      </c>
      <c r="I153" s="6">
        <v>0</v>
      </c>
      <c r="J153" s="36"/>
      <c r="O153" s="47" t="s">
        <v>332</v>
      </c>
    </row>
    <row r="154" spans="6:15">
      <c r="F154" s="46" t="s">
        <v>331</v>
      </c>
      <c r="I154" s="6">
        <v>0</v>
      </c>
      <c r="J154" s="36"/>
      <c r="O154" s="47" t="s">
        <v>332</v>
      </c>
    </row>
    <row r="155" spans="6:15">
      <c r="F155" s="46" t="s">
        <v>331</v>
      </c>
      <c r="I155" s="6">
        <v>0</v>
      </c>
      <c r="J155" s="36"/>
      <c r="O155" s="47" t="s">
        <v>332</v>
      </c>
    </row>
    <row r="156" spans="6:15">
      <c r="F156" s="46" t="s">
        <v>331</v>
      </c>
      <c r="I156" s="6">
        <v>0</v>
      </c>
      <c r="J156" s="36"/>
      <c r="O156" s="47" t="s">
        <v>332</v>
      </c>
    </row>
    <row r="157" spans="6:15">
      <c r="F157" s="46" t="s">
        <v>331</v>
      </c>
      <c r="I157" s="6">
        <v>0</v>
      </c>
      <c r="J157" s="36"/>
      <c r="O157" s="47" t="s">
        <v>332</v>
      </c>
    </row>
    <row r="158" spans="6:15">
      <c r="F158" s="46" t="s">
        <v>331</v>
      </c>
      <c r="I158" s="6">
        <v>0</v>
      </c>
      <c r="J158" s="36"/>
      <c r="O158" s="47" t="s">
        <v>332</v>
      </c>
    </row>
    <row r="159" spans="6:15">
      <c r="F159" s="46" t="s">
        <v>331</v>
      </c>
      <c r="I159" s="6">
        <v>0</v>
      </c>
      <c r="J159" s="36"/>
      <c r="O159" s="47" t="s">
        <v>332</v>
      </c>
    </row>
    <row r="160" spans="6:15">
      <c r="F160" s="46" t="s">
        <v>331</v>
      </c>
      <c r="I160" s="6">
        <v>0</v>
      </c>
      <c r="J160" s="36"/>
      <c r="O160" s="47" t="s">
        <v>332</v>
      </c>
    </row>
    <row r="161" spans="6:15">
      <c r="F161" s="46" t="s">
        <v>331</v>
      </c>
      <c r="I161" s="6">
        <v>0</v>
      </c>
      <c r="J161" s="36"/>
      <c r="O161" s="47" t="s">
        <v>332</v>
      </c>
    </row>
    <row r="162" spans="6:15">
      <c r="F162" s="46" t="s">
        <v>331</v>
      </c>
      <c r="I162" s="6">
        <v>0</v>
      </c>
      <c r="J162" s="36"/>
      <c r="O162" s="47" t="s">
        <v>332</v>
      </c>
    </row>
    <row r="163" spans="6:15">
      <c r="F163" s="46" t="s">
        <v>331</v>
      </c>
      <c r="I163" s="6">
        <v>0</v>
      </c>
      <c r="J163" s="36"/>
      <c r="O163" s="47" t="s">
        <v>332</v>
      </c>
    </row>
    <row r="164" spans="6:15">
      <c r="F164" s="46" t="s">
        <v>331</v>
      </c>
      <c r="I164" s="6">
        <v>0</v>
      </c>
      <c r="J164" s="36"/>
      <c r="O164" s="47" t="s">
        <v>332</v>
      </c>
    </row>
    <row r="165" spans="6:15">
      <c r="F165" s="46" t="s">
        <v>331</v>
      </c>
      <c r="I165" s="6">
        <v>0</v>
      </c>
      <c r="J165" s="36"/>
      <c r="O165" s="47" t="s">
        <v>332</v>
      </c>
    </row>
    <row r="166" spans="6:15">
      <c r="F166" s="46" t="s">
        <v>331</v>
      </c>
      <c r="I166" s="6">
        <v>0</v>
      </c>
      <c r="J166" s="36"/>
      <c r="O166" s="47" t="s">
        <v>332</v>
      </c>
    </row>
    <row r="167" spans="6:15">
      <c r="F167" s="46" t="s">
        <v>331</v>
      </c>
      <c r="I167" s="6">
        <v>0</v>
      </c>
      <c r="J167" s="36"/>
      <c r="O167" s="47" t="s">
        <v>332</v>
      </c>
    </row>
    <row r="168" spans="6:15">
      <c r="F168" s="46" t="s">
        <v>331</v>
      </c>
      <c r="I168" s="6">
        <v>0</v>
      </c>
      <c r="J168" s="36"/>
      <c r="O168" s="47" t="s">
        <v>332</v>
      </c>
    </row>
    <row r="169" spans="6:15">
      <c r="F169" s="46" t="s">
        <v>331</v>
      </c>
      <c r="I169" s="6">
        <v>0</v>
      </c>
      <c r="J169" s="36"/>
      <c r="O169" s="47" t="s">
        <v>332</v>
      </c>
    </row>
    <row r="170" spans="6:15">
      <c r="F170" s="46" t="s">
        <v>331</v>
      </c>
      <c r="I170" s="6">
        <v>0</v>
      </c>
      <c r="J170" s="36"/>
      <c r="O170" s="47" t="s">
        <v>332</v>
      </c>
    </row>
    <row r="171" spans="6:15">
      <c r="F171" s="46" t="s">
        <v>331</v>
      </c>
      <c r="I171" s="6">
        <v>0</v>
      </c>
      <c r="J171" s="36"/>
      <c r="O171" s="47" t="s">
        <v>332</v>
      </c>
    </row>
    <row r="172" spans="6:15">
      <c r="F172" s="46" t="s">
        <v>331</v>
      </c>
      <c r="I172" s="6">
        <v>0</v>
      </c>
      <c r="J172" s="36"/>
      <c r="O172" s="47" t="s">
        <v>332</v>
      </c>
    </row>
    <row r="173" spans="6:15">
      <c r="F173" s="46" t="s">
        <v>331</v>
      </c>
      <c r="I173" s="6">
        <v>0</v>
      </c>
      <c r="J173" s="36"/>
      <c r="O173" s="47" t="s">
        <v>332</v>
      </c>
    </row>
    <row r="174" spans="6:15">
      <c r="F174" s="46" t="s">
        <v>331</v>
      </c>
      <c r="I174" s="6">
        <v>0</v>
      </c>
      <c r="J174" s="36"/>
      <c r="O174" s="47" t="s">
        <v>332</v>
      </c>
    </row>
    <row r="175" spans="6:15">
      <c r="F175" s="46" t="s">
        <v>331</v>
      </c>
      <c r="I175" s="6">
        <v>0</v>
      </c>
      <c r="J175" s="36"/>
      <c r="O175" s="47" t="s">
        <v>332</v>
      </c>
    </row>
    <row r="176" spans="6:15">
      <c r="F176" s="46" t="s">
        <v>331</v>
      </c>
      <c r="I176" s="6">
        <v>0</v>
      </c>
      <c r="J176" s="36"/>
      <c r="O176" s="47" t="s">
        <v>332</v>
      </c>
    </row>
    <row r="177" spans="6:15">
      <c r="F177" s="46" t="s">
        <v>331</v>
      </c>
      <c r="I177" s="6">
        <v>0</v>
      </c>
      <c r="J177" s="36"/>
      <c r="O177" s="47" t="s">
        <v>332</v>
      </c>
    </row>
    <row r="178" spans="6:15">
      <c r="F178" s="46" t="s">
        <v>331</v>
      </c>
      <c r="I178" s="6">
        <v>0</v>
      </c>
      <c r="J178" s="36"/>
      <c r="O178" s="47" t="s">
        <v>332</v>
      </c>
    </row>
    <row r="179" spans="6:15">
      <c r="F179" s="46" t="s">
        <v>331</v>
      </c>
      <c r="I179" s="6">
        <v>0</v>
      </c>
      <c r="J179" s="36"/>
      <c r="O179" s="47" t="s">
        <v>332</v>
      </c>
    </row>
    <row r="180" spans="6:15">
      <c r="F180" s="46" t="s">
        <v>331</v>
      </c>
      <c r="I180" s="6">
        <v>0</v>
      </c>
      <c r="J180" s="36"/>
      <c r="O180" s="47" t="s">
        <v>332</v>
      </c>
    </row>
    <row r="181" spans="6:15">
      <c r="F181" s="46" t="s">
        <v>331</v>
      </c>
      <c r="I181" s="6">
        <v>0</v>
      </c>
      <c r="J181" s="36"/>
      <c r="O181" s="47" t="s">
        <v>332</v>
      </c>
    </row>
    <row r="182" spans="6:15">
      <c r="F182" s="46" t="s">
        <v>331</v>
      </c>
      <c r="I182" s="6">
        <v>0</v>
      </c>
      <c r="J182" s="36"/>
      <c r="O182" s="47" t="s">
        <v>332</v>
      </c>
    </row>
    <row r="183" spans="6:15">
      <c r="F183" s="46" t="s">
        <v>331</v>
      </c>
      <c r="I183" s="6">
        <v>0</v>
      </c>
      <c r="J183" s="36"/>
      <c r="O183" s="47" t="s">
        <v>332</v>
      </c>
    </row>
    <row r="184" spans="6:15">
      <c r="F184" s="46" t="s">
        <v>331</v>
      </c>
      <c r="I184" s="6">
        <v>0</v>
      </c>
      <c r="J184" s="36"/>
      <c r="O184" s="47" t="s">
        <v>332</v>
      </c>
    </row>
    <row r="185" spans="6:15">
      <c r="F185" s="46" t="s">
        <v>331</v>
      </c>
      <c r="I185" s="6">
        <v>0</v>
      </c>
      <c r="J185" s="36"/>
      <c r="O185" s="47" t="s">
        <v>332</v>
      </c>
    </row>
    <row r="186" spans="6:15">
      <c r="F186" s="46" t="s">
        <v>331</v>
      </c>
      <c r="I186" s="6">
        <v>0</v>
      </c>
      <c r="J186" s="36"/>
      <c r="O186" s="47" t="s">
        <v>332</v>
      </c>
    </row>
    <row r="187" spans="6:15">
      <c r="F187" s="46" t="s">
        <v>331</v>
      </c>
      <c r="I187" s="6">
        <v>0</v>
      </c>
      <c r="J187" s="36"/>
      <c r="O187" s="47" t="s">
        <v>332</v>
      </c>
    </row>
    <row r="188" spans="6:15">
      <c r="F188" s="46" t="s">
        <v>331</v>
      </c>
      <c r="I188" s="6">
        <v>0</v>
      </c>
      <c r="J188" s="36"/>
      <c r="O188" s="47" t="s">
        <v>332</v>
      </c>
    </row>
    <row r="189" spans="6:15">
      <c r="F189" s="46" t="s">
        <v>331</v>
      </c>
      <c r="I189" s="6">
        <v>0</v>
      </c>
      <c r="J189" s="36"/>
      <c r="O189" s="47" t="s">
        <v>332</v>
      </c>
    </row>
    <row r="190" spans="6:15">
      <c r="F190" s="46" t="s">
        <v>331</v>
      </c>
      <c r="I190" s="6">
        <v>0</v>
      </c>
      <c r="J190" s="36"/>
      <c r="O190" s="47" t="s">
        <v>332</v>
      </c>
    </row>
    <row r="191" spans="6:15">
      <c r="F191" s="46" t="s">
        <v>331</v>
      </c>
      <c r="I191" s="6">
        <v>0</v>
      </c>
      <c r="J191" s="36"/>
      <c r="O191" s="47" t="s">
        <v>332</v>
      </c>
    </row>
    <row r="192" spans="6:15">
      <c r="F192" s="46" t="s">
        <v>331</v>
      </c>
      <c r="I192" s="6">
        <v>0</v>
      </c>
      <c r="J192" s="36"/>
      <c r="O192" s="47" t="s">
        <v>332</v>
      </c>
    </row>
    <row r="193" spans="6:15">
      <c r="F193" s="46" t="s">
        <v>331</v>
      </c>
      <c r="I193" s="6">
        <v>0</v>
      </c>
      <c r="J193" s="36"/>
      <c r="O193" s="47" t="s">
        <v>332</v>
      </c>
    </row>
    <row r="194" spans="6:15">
      <c r="F194" s="46" t="s">
        <v>331</v>
      </c>
      <c r="I194" s="6">
        <v>0</v>
      </c>
      <c r="J194" s="36"/>
      <c r="O194" s="47" t="s">
        <v>332</v>
      </c>
    </row>
    <row r="195" spans="6:15">
      <c r="F195" s="46" t="s">
        <v>331</v>
      </c>
      <c r="I195" s="6">
        <v>0</v>
      </c>
      <c r="J195" s="36"/>
      <c r="O195" s="47" t="s">
        <v>332</v>
      </c>
    </row>
    <row r="196" spans="6:15">
      <c r="F196" s="46" t="s">
        <v>331</v>
      </c>
      <c r="I196" s="6">
        <v>0</v>
      </c>
      <c r="J196" s="36"/>
      <c r="O196" s="47" t="s">
        <v>332</v>
      </c>
    </row>
    <row r="197" spans="6:15">
      <c r="F197" s="46" t="s">
        <v>331</v>
      </c>
      <c r="I197" s="6">
        <v>0</v>
      </c>
      <c r="J197" s="36"/>
      <c r="O197" s="47" t="s">
        <v>332</v>
      </c>
    </row>
    <row r="198" spans="6:15">
      <c r="F198" s="46" t="s">
        <v>331</v>
      </c>
      <c r="I198" s="6">
        <v>0</v>
      </c>
      <c r="J198" s="36"/>
      <c r="O198" s="47" t="s">
        <v>332</v>
      </c>
    </row>
    <row r="199" spans="6:15">
      <c r="F199" s="46" t="s">
        <v>331</v>
      </c>
      <c r="I199" s="6">
        <v>0</v>
      </c>
      <c r="J199" s="36"/>
      <c r="O199" s="47" t="s">
        <v>332</v>
      </c>
    </row>
    <row r="200" spans="6:15">
      <c r="F200" s="46" t="s">
        <v>331</v>
      </c>
      <c r="I200" s="6">
        <v>0</v>
      </c>
      <c r="J200" s="36"/>
      <c r="O200" s="47" t="s">
        <v>332</v>
      </c>
    </row>
    <row r="201" spans="6:15">
      <c r="F201" s="46" t="s">
        <v>331</v>
      </c>
      <c r="I201" s="6">
        <v>0</v>
      </c>
      <c r="J201" s="36"/>
      <c r="O201" s="47" t="s">
        <v>332</v>
      </c>
    </row>
    <row r="202" spans="6:15">
      <c r="F202" s="46" t="s">
        <v>331</v>
      </c>
      <c r="I202" s="6">
        <v>0</v>
      </c>
      <c r="J202" s="36"/>
      <c r="O202" s="47" t="s">
        <v>332</v>
      </c>
    </row>
    <row r="203" spans="6:15">
      <c r="F203" s="46" t="s">
        <v>331</v>
      </c>
      <c r="I203" s="6">
        <v>0</v>
      </c>
      <c r="J203" s="36"/>
      <c r="O203" s="47" t="s">
        <v>332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C385-6EB4-44DC-8936-44880D2F7872}">
  <dimension ref="D1:L66"/>
  <sheetViews>
    <sheetView workbookViewId="0">
      <selection activeCell="O10" sqref="O10"/>
    </sheetView>
  </sheetViews>
  <sheetFormatPr defaultRowHeight="14.5"/>
  <cols>
    <col min="11" max="12" width="8.7265625" style="23"/>
  </cols>
  <sheetData>
    <row r="1" spans="4:12">
      <c r="D1" t="s">
        <v>4</v>
      </c>
      <c r="E1" t="s">
        <v>333</v>
      </c>
      <c r="F1" t="s">
        <v>334</v>
      </c>
      <c r="G1" t="s">
        <v>335</v>
      </c>
      <c r="H1" t="s">
        <v>336</v>
      </c>
      <c r="I1" t="s">
        <v>337</v>
      </c>
      <c r="K1" s="23" t="s">
        <v>338</v>
      </c>
      <c r="L1" s="23" t="s">
        <v>339</v>
      </c>
    </row>
    <row r="2" spans="4:12">
      <c r="D2" t="s">
        <v>16</v>
      </c>
      <c r="E2">
        <v>339.08266765844797</v>
      </c>
      <c r="F2">
        <v>277.26650860644497</v>
      </c>
      <c r="G2">
        <v>325.16753384907702</v>
      </c>
      <c r="H2">
        <v>404.37761016279302</v>
      </c>
      <c r="I2">
        <v>85.593313251788302</v>
      </c>
      <c r="K2" s="54">
        <v>45.781893129387498</v>
      </c>
      <c r="L2" s="54">
        <v>10.1831417958565</v>
      </c>
    </row>
    <row r="3" spans="4:12">
      <c r="D3" t="s">
        <v>34</v>
      </c>
      <c r="E3">
        <v>1018.0107554695199</v>
      </c>
      <c r="F3">
        <v>278.47152117224198</v>
      </c>
      <c r="G3">
        <v>1018.0107554695199</v>
      </c>
      <c r="H3">
        <v>1757.5499897668001</v>
      </c>
      <c r="I3">
        <v>1045.86641505022</v>
      </c>
      <c r="K3" s="54">
        <v>28.174577745254101</v>
      </c>
      <c r="L3" s="54">
        <v>29.380863465316999</v>
      </c>
    </row>
    <row r="4" spans="4:12">
      <c r="D4" t="s">
        <v>37</v>
      </c>
      <c r="E4">
        <v>668.68625007365301</v>
      </c>
      <c r="F4">
        <v>668.68625007365301</v>
      </c>
      <c r="G4">
        <v>668.68625007365301</v>
      </c>
      <c r="H4">
        <v>668.68625007365301</v>
      </c>
      <c r="I4">
        <v>0</v>
      </c>
      <c r="K4" s="54">
        <v>35.404111302774403</v>
      </c>
      <c r="L4" s="54">
        <v>20.633747145129899</v>
      </c>
    </row>
    <row r="5" spans="4:12">
      <c r="D5" t="s">
        <v>40</v>
      </c>
      <c r="E5">
        <v>390.277234849531</v>
      </c>
      <c r="F5">
        <v>218.656944551435</v>
      </c>
      <c r="G5">
        <v>278.99377072526198</v>
      </c>
      <c r="H5">
        <v>384.20779413935799</v>
      </c>
      <c r="I5">
        <v>396.81584340452201</v>
      </c>
      <c r="K5" s="54">
        <v>57.378690313714998</v>
      </c>
      <c r="L5" s="54">
        <v>11.6214578612518</v>
      </c>
    </row>
    <row r="6" spans="4:12">
      <c r="D6" t="s">
        <v>61</v>
      </c>
      <c r="E6">
        <v>240.50735905641901</v>
      </c>
      <c r="F6">
        <v>240.50735905641901</v>
      </c>
      <c r="G6">
        <v>240.50735905641901</v>
      </c>
      <c r="H6">
        <v>240.50735905641901</v>
      </c>
      <c r="I6">
        <v>0</v>
      </c>
      <c r="K6" s="54">
        <v>60.111776467409697</v>
      </c>
      <c r="L6" s="54">
        <v>8.0815146126159298</v>
      </c>
    </row>
    <row r="7" spans="4:12">
      <c r="D7" t="s">
        <v>63</v>
      </c>
      <c r="E7">
        <v>437.40688635734398</v>
      </c>
      <c r="F7">
        <v>375.15862777250402</v>
      </c>
      <c r="G7">
        <v>402.69300154344</v>
      </c>
      <c r="H7">
        <v>498.15357270926</v>
      </c>
      <c r="I7">
        <v>116.912006975422</v>
      </c>
      <c r="K7" s="54">
        <v>52.023833401553297</v>
      </c>
      <c r="L7" s="54">
        <v>13.029532662718999</v>
      </c>
    </row>
    <row r="8" spans="4:12">
      <c r="D8" t="s">
        <v>76</v>
      </c>
      <c r="E8">
        <v>343.07661231891501</v>
      </c>
      <c r="F8">
        <v>343.07661231891501</v>
      </c>
      <c r="G8">
        <v>343.07661231891501</v>
      </c>
      <c r="H8">
        <v>343.07661231891501</v>
      </c>
      <c r="I8">
        <v>0</v>
      </c>
      <c r="K8" s="56">
        <v>37.728653656056899</v>
      </c>
      <c r="L8" s="56">
        <v>11.198274045859</v>
      </c>
    </row>
    <row r="9" spans="4:12">
      <c r="D9" t="s">
        <v>83</v>
      </c>
      <c r="E9">
        <v>416.01090537032701</v>
      </c>
      <c r="F9">
        <v>413.04408566767898</v>
      </c>
      <c r="G9">
        <v>416.01090537032701</v>
      </c>
      <c r="H9">
        <v>418.977725072976</v>
      </c>
      <c r="I9">
        <v>4.1957166606009499</v>
      </c>
      <c r="K9" s="54">
        <v>54.9950904123125</v>
      </c>
      <c r="L9" s="54">
        <v>12.6363723628128</v>
      </c>
    </row>
    <row r="10" spans="4:12">
      <c r="D10" t="s">
        <v>90</v>
      </c>
      <c r="E10">
        <v>583.35785557341603</v>
      </c>
      <c r="F10">
        <v>448.39479840849702</v>
      </c>
      <c r="G10">
        <v>592.318202318109</v>
      </c>
      <c r="H10">
        <v>692.98699075888703</v>
      </c>
      <c r="I10">
        <v>181.536187112801</v>
      </c>
      <c r="K10" s="54">
        <v>44.496234555510803</v>
      </c>
      <c r="L10" s="54">
        <v>17.933510658625</v>
      </c>
    </row>
    <row r="11" spans="4:12">
      <c r="D11" t="s">
        <v>97</v>
      </c>
      <c r="E11">
        <v>304.56997682785601</v>
      </c>
      <c r="F11">
        <v>304.56997682785601</v>
      </c>
      <c r="G11">
        <v>304.56997682785601</v>
      </c>
      <c r="H11">
        <v>304.56997682785601</v>
      </c>
      <c r="I11">
        <v>0</v>
      </c>
      <c r="K11" s="54">
        <v>76.023030152194195</v>
      </c>
      <c r="L11" s="54">
        <v>9.1200433861333305</v>
      </c>
    </row>
    <row r="12" spans="4:12">
      <c r="D12" t="s">
        <v>102</v>
      </c>
      <c r="E12">
        <v>347.23258212014201</v>
      </c>
      <c r="F12">
        <v>198.49251629881701</v>
      </c>
      <c r="G12">
        <v>301.96099529816502</v>
      </c>
      <c r="H12">
        <v>388.53443819571498</v>
      </c>
      <c r="I12">
        <v>263.02256112600799</v>
      </c>
      <c r="K12" s="56">
        <v>56.949910249700601</v>
      </c>
      <c r="L12" s="56">
        <v>10.186147020395101</v>
      </c>
    </row>
    <row r="13" spans="4:12">
      <c r="D13" t="s">
        <v>107</v>
      </c>
      <c r="E13">
        <v>573.13143677841094</v>
      </c>
      <c r="F13">
        <v>390.73099977964603</v>
      </c>
      <c r="G13">
        <v>494.26648205305298</v>
      </c>
      <c r="H13">
        <v>584.74099351168502</v>
      </c>
      <c r="I13">
        <v>512.33956874462604</v>
      </c>
      <c r="K13" s="56">
        <v>45.053870411975304</v>
      </c>
      <c r="L13" s="56">
        <v>17.050140954024101</v>
      </c>
    </row>
    <row r="14" spans="4:12">
      <c r="D14" t="s">
        <v>121</v>
      </c>
      <c r="E14">
        <v>214.559018786005</v>
      </c>
      <c r="F14">
        <v>214.559018786005</v>
      </c>
      <c r="G14">
        <v>214.559018786005</v>
      </c>
      <c r="H14">
        <v>214.559018786005</v>
      </c>
      <c r="I14">
        <v>0</v>
      </c>
      <c r="K14" s="54">
        <v>70.655543684202001</v>
      </c>
      <c r="L14" s="54">
        <v>6.4391133372156499</v>
      </c>
    </row>
    <row r="15" spans="4:12">
      <c r="D15" t="s">
        <v>125</v>
      </c>
      <c r="E15">
        <v>582.85812935181298</v>
      </c>
      <c r="F15">
        <v>455.041797283177</v>
      </c>
      <c r="G15">
        <v>543.27469593149203</v>
      </c>
      <c r="H15">
        <v>645.27900254674398</v>
      </c>
      <c r="I15">
        <v>279.02834360931701</v>
      </c>
      <c r="K15" s="54">
        <v>48.530866491873397</v>
      </c>
      <c r="L15" s="54">
        <v>17.8029307341323</v>
      </c>
    </row>
    <row r="16" spans="4:12">
      <c r="D16" t="s">
        <v>127</v>
      </c>
      <c r="E16">
        <v>490.49337281255703</v>
      </c>
      <c r="F16">
        <v>319.19013278255602</v>
      </c>
      <c r="G16">
        <v>434.523152219868</v>
      </c>
      <c r="H16">
        <v>579.21400164068302</v>
      </c>
      <c r="I16">
        <v>266.18914710180201</v>
      </c>
      <c r="K16" s="54">
        <v>60.004973110181297</v>
      </c>
      <c r="L16" s="54">
        <v>14.7703998531598</v>
      </c>
    </row>
    <row r="17" spans="4:12">
      <c r="D17" t="s">
        <v>133</v>
      </c>
      <c r="E17">
        <v>406.95449526990001</v>
      </c>
      <c r="F17">
        <v>282.82759081646202</v>
      </c>
      <c r="G17">
        <v>314.35598950008898</v>
      </c>
      <c r="H17">
        <v>610.21433275931497</v>
      </c>
      <c r="I17">
        <v>206.327488506968</v>
      </c>
      <c r="K17" s="54">
        <v>67.867725584794101</v>
      </c>
      <c r="L17" s="54">
        <v>12.1907392380148</v>
      </c>
    </row>
    <row r="18" spans="4:12">
      <c r="D18" t="s">
        <v>135</v>
      </c>
      <c r="E18">
        <v>183.29787548385201</v>
      </c>
      <c r="F18">
        <v>183.29787548385201</v>
      </c>
      <c r="G18">
        <v>183.29787548385201</v>
      </c>
      <c r="H18">
        <v>183.29787548385201</v>
      </c>
      <c r="I18">
        <v>0</v>
      </c>
      <c r="K18" s="54">
        <v>80.6016104201762</v>
      </c>
      <c r="L18" s="54">
        <v>5.5743747191852604</v>
      </c>
    </row>
    <row r="19" spans="4:12">
      <c r="D19" t="s">
        <v>137</v>
      </c>
      <c r="E19">
        <v>340.03670445819301</v>
      </c>
      <c r="F19">
        <v>255.60954878651901</v>
      </c>
      <c r="G19">
        <v>380.01325437458303</v>
      </c>
      <c r="H19">
        <v>399.337887372571</v>
      </c>
      <c r="I19">
        <v>74.486049957921097</v>
      </c>
      <c r="K19" s="54">
        <v>59.095366629109598</v>
      </c>
      <c r="L19" s="54">
        <v>10.1892213472489</v>
      </c>
    </row>
    <row r="20" spans="4:12">
      <c r="D20" t="s">
        <v>143</v>
      </c>
      <c r="E20">
        <v>258.36962496752898</v>
      </c>
      <c r="F20">
        <v>258.36962496752898</v>
      </c>
      <c r="G20">
        <v>258.36962496752898</v>
      </c>
      <c r="H20">
        <v>258.36962496752898</v>
      </c>
      <c r="I20">
        <v>0</v>
      </c>
      <c r="K20" s="54">
        <v>57.126343285434103</v>
      </c>
      <c r="L20" s="54">
        <v>7.7938819371326797</v>
      </c>
    </row>
    <row r="21" spans="4:12">
      <c r="D21" t="s">
        <v>147</v>
      </c>
      <c r="E21">
        <v>566.26432816970396</v>
      </c>
      <c r="F21">
        <v>305.60997503714202</v>
      </c>
      <c r="G21">
        <v>385.54804814190902</v>
      </c>
      <c r="H21">
        <v>541.29489941669306</v>
      </c>
      <c r="I21">
        <v>1057.7484947253199</v>
      </c>
      <c r="K21" s="54">
        <v>69.519621896132904</v>
      </c>
      <c r="L21" s="54">
        <v>16.771251735531401</v>
      </c>
    </row>
    <row r="22" spans="4:12">
      <c r="D22" t="s">
        <v>149</v>
      </c>
      <c r="E22">
        <v>336.25799970724</v>
      </c>
      <c r="F22">
        <v>207.031857118104</v>
      </c>
      <c r="G22">
        <v>294.31229639854001</v>
      </c>
      <c r="H22">
        <v>384.39968697344398</v>
      </c>
      <c r="I22">
        <v>243.553875234011</v>
      </c>
      <c r="K22" s="54">
        <v>80.096364527217602</v>
      </c>
      <c r="L22" s="54">
        <v>9.9336422980794108</v>
      </c>
    </row>
    <row r="23" spans="4:12">
      <c r="D23" t="s">
        <v>151</v>
      </c>
      <c r="E23">
        <v>446.19538933625302</v>
      </c>
      <c r="F23">
        <v>265.67769195987802</v>
      </c>
      <c r="G23">
        <v>348.31861719391998</v>
      </c>
      <c r="H23">
        <v>452.618996982917</v>
      </c>
      <c r="I23">
        <v>764.53597256681803</v>
      </c>
      <c r="K23" s="54">
        <v>68.690117230557306</v>
      </c>
      <c r="L23" s="54">
        <v>13.205732959997</v>
      </c>
    </row>
    <row r="24" spans="4:12">
      <c r="D24" t="s">
        <v>157</v>
      </c>
      <c r="E24">
        <v>359.77522553977201</v>
      </c>
      <c r="F24">
        <v>286.86037294195302</v>
      </c>
      <c r="G24">
        <v>337.30766102784497</v>
      </c>
      <c r="H24">
        <v>409.79822873068201</v>
      </c>
      <c r="I24">
        <v>146.50538195212101</v>
      </c>
      <c r="K24" s="54">
        <v>61.140822347516902</v>
      </c>
      <c r="L24" s="54">
        <v>10.284659313824401</v>
      </c>
    </row>
    <row r="25" spans="4:12">
      <c r="D25" t="s">
        <v>165</v>
      </c>
      <c r="E25">
        <v>264.11247843030299</v>
      </c>
      <c r="F25">
        <v>264.11247843030299</v>
      </c>
      <c r="G25">
        <v>264.11247843030299</v>
      </c>
      <c r="H25">
        <v>264.11247843030299</v>
      </c>
      <c r="I25">
        <v>0</v>
      </c>
      <c r="K25" s="54">
        <v>51.856940413072202</v>
      </c>
      <c r="L25" s="54">
        <v>7.6727671597451099</v>
      </c>
    </row>
    <row r="26" spans="4:12">
      <c r="D26" t="s">
        <v>167</v>
      </c>
      <c r="E26">
        <v>343.00089850751101</v>
      </c>
      <c r="F26">
        <v>209.72302615408</v>
      </c>
      <c r="G26">
        <v>297.56278804254998</v>
      </c>
      <c r="H26">
        <v>477.26689042840201</v>
      </c>
      <c r="I26">
        <v>185.29463927970801</v>
      </c>
      <c r="K26" s="54">
        <v>64.515936152201206</v>
      </c>
      <c r="L26" s="54">
        <v>8.4875456566785399</v>
      </c>
    </row>
    <row r="27" spans="4:12">
      <c r="D27" t="s">
        <v>171</v>
      </c>
      <c r="E27">
        <v>377.966035270237</v>
      </c>
      <c r="F27">
        <v>253.64721744664899</v>
      </c>
      <c r="G27">
        <v>330.636932192232</v>
      </c>
      <c r="H27">
        <v>514.11712886332703</v>
      </c>
      <c r="I27">
        <v>178.418545374286</v>
      </c>
      <c r="K27" s="54">
        <v>67.058458419537601</v>
      </c>
      <c r="L27" s="54">
        <v>11.1894396883014</v>
      </c>
    </row>
    <row r="28" spans="4:12">
      <c r="D28" t="s">
        <v>175</v>
      </c>
      <c r="E28">
        <v>440.098335062437</v>
      </c>
      <c r="F28">
        <v>233.37343455003699</v>
      </c>
      <c r="G28">
        <v>257.94156057527101</v>
      </c>
      <c r="H28">
        <v>311.02890061473499</v>
      </c>
      <c r="I28">
        <v>758.63013363125594</v>
      </c>
      <c r="K28" s="54">
        <v>64.007894321328905</v>
      </c>
      <c r="L28" s="54">
        <v>8.8539569823789499</v>
      </c>
    </row>
    <row r="29" spans="4:12">
      <c r="D29" t="s">
        <v>177</v>
      </c>
      <c r="E29">
        <v>371.15203830739199</v>
      </c>
      <c r="F29">
        <v>247.249928595532</v>
      </c>
      <c r="G29">
        <v>307.66790919687003</v>
      </c>
      <c r="H29">
        <v>400.69447700441702</v>
      </c>
      <c r="I29">
        <v>255.64731220354699</v>
      </c>
      <c r="K29" s="54">
        <v>56.243077487950998</v>
      </c>
      <c r="L29" s="54">
        <v>11.1129752307918</v>
      </c>
    </row>
    <row r="30" spans="4:12">
      <c r="D30" t="s">
        <v>183</v>
      </c>
      <c r="E30">
        <v>439.55022603598798</v>
      </c>
      <c r="F30">
        <v>289.15231328705801</v>
      </c>
      <c r="G30">
        <v>393.37259343847398</v>
      </c>
      <c r="H30">
        <v>487.424015981975</v>
      </c>
      <c r="I30">
        <v>346.67026593676701</v>
      </c>
      <c r="K30" s="54">
        <v>55.726903315041902</v>
      </c>
      <c r="L30" s="54">
        <v>12.8524452552544</v>
      </c>
    </row>
    <row r="31" spans="4:12">
      <c r="D31" t="s">
        <v>187</v>
      </c>
      <c r="E31">
        <v>452.71920286435301</v>
      </c>
      <c r="F31">
        <v>302.58948459642698</v>
      </c>
      <c r="G31">
        <v>390.50726876463898</v>
      </c>
      <c r="H31">
        <v>646.03807589293297</v>
      </c>
      <c r="I31">
        <v>209.65664347678501</v>
      </c>
      <c r="K31" s="54">
        <v>41.431134718517697</v>
      </c>
      <c r="L31" s="54">
        <v>13.597765868524201</v>
      </c>
    </row>
    <row r="32" spans="4:12">
      <c r="D32" t="s">
        <v>193</v>
      </c>
      <c r="E32">
        <v>499.87998442265501</v>
      </c>
      <c r="F32">
        <v>255.755346835018</v>
      </c>
      <c r="G32">
        <v>335.129344073906</v>
      </c>
      <c r="H32">
        <v>496.24116285118998</v>
      </c>
      <c r="I32">
        <v>584.61488369196604</v>
      </c>
      <c r="K32" s="54">
        <v>59.5913787567873</v>
      </c>
      <c r="L32" s="54">
        <v>15.2810330066345</v>
      </c>
    </row>
    <row r="33" spans="4:12">
      <c r="D33" t="s">
        <v>197</v>
      </c>
      <c r="E33">
        <v>338.351991196634</v>
      </c>
      <c r="F33">
        <v>259.65852129244001</v>
      </c>
      <c r="G33">
        <v>338.351991196634</v>
      </c>
      <c r="H33">
        <v>417.04546110082703</v>
      </c>
      <c r="I33">
        <v>111.289372408709</v>
      </c>
      <c r="K33" s="54">
        <v>58.314733196305099</v>
      </c>
      <c r="L33" s="54">
        <v>10.3741325352352</v>
      </c>
    </row>
    <row r="34" spans="4:12">
      <c r="D34" t="s">
        <v>199</v>
      </c>
      <c r="E34">
        <v>515.16711994701097</v>
      </c>
      <c r="F34">
        <v>360.70201655619502</v>
      </c>
      <c r="G34">
        <v>513.95719273816701</v>
      </c>
      <c r="H34">
        <v>669.934705140039</v>
      </c>
      <c r="I34">
        <v>206.15778861001999</v>
      </c>
      <c r="K34" s="54">
        <v>43.865186654096398</v>
      </c>
      <c r="L34" s="54">
        <v>15.0165857419891</v>
      </c>
    </row>
    <row r="35" spans="4:12">
      <c r="D35" t="s">
        <v>207</v>
      </c>
      <c r="E35">
        <v>221.45179627641701</v>
      </c>
      <c r="F35">
        <v>221.45179627641701</v>
      </c>
      <c r="G35">
        <v>221.45179627641701</v>
      </c>
      <c r="H35">
        <v>221.45179627641701</v>
      </c>
      <c r="I35">
        <v>0</v>
      </c>
      <c r="K35" s="54">
        <v>75.740613911034899</v>
      </c>
      <c r="L35" s="54">
        <v>6.6346513035175896</v>
      </c>
    </row>
    <row r="36" spans="4:12">
      <c r="D36" t="s">
        <v>209</v>
      </c>
      <c r="E36">
        <v>161.455027110754</v>
      </c>
      <c r="F36">
        <v>161.455027110754</v>
      </c>
      <c r="G36">
        <v>161.455027110754</v>
      </c>
      <c r="H36">
        <v>161.455027110754</v>
      </c>
      <c r="I36">
        <v>0</v>
      </c>
      <c r="K36" s="54">
        <v>104.753834464189</v>
      </c>
      <c r="L36" s="54">
        <v>4.88546055934005</v>
      </c>
    </row>
    <row r="37" spans="4:12">
      <c r="D37" t="s">
        <v>219</v>
      </c>
      <c r="E37">
        <v>155.97879975608899</v>
      </c>
      <c r="F37">
        <v>155.97879975608899</v>
      </c>
      <c r="G37">
        <v>155.97879975608899</v>
      </c>
      <c r="H37">
        <v>155.97879975608899</v>
      </c>
      <c r="I37">
        <v>0</v>
      </c>
      <c r="K37" s="54">
        <v>93.0800096997108</v>
      </c>
      <c r="L37" s="54">
        <v>4.6339912776397503</v>
      </c>
    </row>
    <row r="38" spans="4:12">
      <c r="D38" t="s">
        <v>231</v>
      </c>
      <c r="E38">
        <v>501.095168334368</v>
      </c>
      <c r="F38">
        <v>387.04409834066399</v>
      </c>
      <c r="G38">
        <v>501.095168334368</v>
      </c>
      <c r="H38">
        <v>615.14623832807104</v>
      </c>
      <c r="I38">
        <v>161.292569988259</v>
      </c>
      <c r="K38" s="54">
        <v>45.5791255758893</v>
      </c>
      <c r="L38" s="54">
        <v>15.536015615200199</v>
      </c>
    </row>
    <row r="39" spans="4:12">
      <c r="D39" t="s">
        <v>233</v>
      </c>
      <c r="E39">
        <v>347.70073315033898</v>
      </c>
      <c r="F39">
        <v>135.86103679899301</v>
      </c>
      <c r="G39">
        <v>347.70073315033801</v>
      </c>
      <c r="H39">
        <v>559.540429501684</v>
      </c>
      <c r="I39">
        <v>299.58657162907002</v>
      </c>
      <c r="K39" s="54">
        <v>67.309915207968004</v>
      </c>
      <c r="L39" s="54">
        <v>10.341920247094601</v>
      </c>
    </row>
    <row r="40" spans="4:12">
      <c r="D40" t="s">
        <v>235</v>
      </c>
      <c r="E40">
        <v>203.720556352622</v>
      </c>
      <c r="F40">
        <v>162.773981884569</v>
      </c>
      <c r="G40">
        <v>163.68011754182001</v>
      </c>
      <c r="H40">
        <v>254.67724052337701</v>
      </c>
      <c r="I40">
        <v>70.400981519212905</v>
      </c>
      <c r="K40" s="54">
        <v>61.959100782311502</v>
      </c>
      <c r="L40" s="54">
        <v>6.1277642653511597</v>
      </c>
    </row>
    <row r="41" spans="4:12">
      <c r="D41" t="s">
        <v>237</v>
      </c>
      <c r="E41">
        <v>227.673212376132</v>
      </c>
      <c r="F41">
        <v>175.688028556684</v>
      </c>
      <c r="G41">
        <v>198.44821214294601</v>
      </c>
      <c r="H41">
        <v>261.14707124601603</v>
      </c>
      <c r="I41">
        <v>77.678404110333801</v>
      </c>
      <c r="K41" s="54">
        <v>51.535874718772597</v>
      </c>
      <c r="L41" s="54">
        <v>6.3071540055681403</v>
      </c>
    </row>
    <row r="42" spans="4:12">
      <c r="D42" t="s">
        <v>239</v>
      </c>
      <c r="E42">
        <v>755.33792385440199</v>
      </c>
      <c r="F42">
        <v>200.978002352434</v>
      </c>
      <c r="G42">
        <v>238.74458134343499</v>
      </c>
      <c r="H42">
        <v>1006.69204833883</v>
      </c>
      <c r="I42">
        <v>1016.76004792401</v>
      </c>
      <c r="K42" s="54">
        <v>70.620602573155594</v>
      </c>
      <c r="L42" s="54">
        <v>22.367071940677199</v>
      </c>
    </row>
    <row r="43" spans="4:12">
      <c r="D43" t="s">
        <v>241</v>
      </c>
      <c r="E43">
        <v>286.24179692898002</v>
      </c>
      <c r="F43">
        <v>159.630291708752</v>
      </c>
      <c r="G43">
        <v>286.24179692898002</v>
      </c>
      <c r="H43">
        <v>412.85330214920799</v>
      </c>
      <c r="I43">
        <v>179.055707834918</v>
      </c>
      <c r="K43" s="54">
        <v>58.202177890113603</v>
      </c>
      <c r="L43" s="54">
        <v>8.5742227733693497</v>
      </c>
    </row>
    <row r="44" spans="4:12">
      <c r="D44" t="s">
        <v>251</v>
      </c>
      <c r="E44">
        <v>435.729997357397</v>
      </c>
      <c r="F44">
        <v>306.68349342284603</v>
      </c>
      <c r="G44">
        <v>455.32874482338201</v>
      </c>
      <c r="H44">
        <v>564.77650129194797</v>
      </c>
      <c r="I44">
        <v>180.14574145672901</v>
      </c>
      <c r="K44" s="54">
        <v>62.224177263641501</v>
      </c>
      <c r="L44" s="54">
        <v>13.0594119836811</v>
      </c>
    </row>
    <row r="45" spans="4:12">
      <c r="D45" t="s">
        <v>255</v>
      </c>
      <c r="E45">
        <v>407.61152996732898</v>
      </c>
      <c r="F45">
        <v>342.68508015641999</v>
      </c>
      <c r="G45">
        <v>407.61152996732898</v>
      </c>
      <c r="H45">
        <v>472.53797977823899</v>
      </c>
      <c r="I45">
        <v>91.819865879324396</v>
      </c>
      <c r="K45" s="54">
        <v>48.366340966701003</v>
      </c>
      <c r="L45" s="54">
        <v>12.1272511563254</v>
      </c>
    </row>
    <row r="46" spans="4:12">
      <c r="D46" t="s">
        <v>257</v>
      </c>
      <c r="E46">
        <v>437.99544374721597</v>
      </c>
      <c r="F46">
        <v>413.46136546806503</v>
      </c>
      <c r="G46">
        <v>437.38552632386501</v>
      </c>
      <c r="H46">
        <v>462.68200138220499</v>
      </c>
      <c r="I46">
        <v>32.818008257995501</v>
      </c>
      <c r="K46" s="54">
        <v>29.049578405127502</v>
      </c>
      <c r="L46" s="54">
        <v>13.209607142957299</v>
      </c>
    </row>
    <row r="47" spans="4:12">
      <c r="D47" t="s">
        <v>259</v>
      </c>
      <c r="E47">
        <v>370.73786307650101</v>
      </c>
      <c r="F47">
        <v>207.672519509723</v>
      </c>
      <c r="G47">
        <v>277.63043654657798</v>
      </c>
      <c r="H47">
        <v>461.29896791448499</v>
      </c>
      <c r="I47">
        <v>250.26242234972599</v>
      </c>
      <c r="K47" s="54">
        <v>74.693610076065497</v>
      </c>
      <c r="L47" s="54">
        <v>11.299438680629301</v>
      </c>
    </row>
    <row r="48" spans="4:12">
      <c r="D48" t="s">
        <v>261</v>
      </c>
      <c r="E48">
        <v>455.74133776954</v>
      </c>
      <c r="F48">
        <v>455.74133776954</v>
      </c>
      <c r="G48">
        <v>455.74133776954</v>
      </c>
      <c r="H48">
        <v>455.74133776954</v>
      </c>
      <c r="I48">
        <v>0</v>
      </c>
      <c r="K48" s="54">
        <v>75.179195953970407</v>
      </c>
      <c r="L48" s="54">
        <v>7.6687308257794102</v>
      </c>
    </row>
    <row r="49" spans="4:12">
      <c r="D49" t="s">
        <v>263</v>
      </c>
      <c r="E49">
        <v>510.25109880804399</v>
      </c>
      <c r="F49">
        <v>293.32550841074601</v>
      </c>
      <c r="G49">
        <v>384.31221020092698</v>
      </c>
      <c r="H49">
        <v>787.03123243141704</v>
      </c>
      <c r="I49">
        <v>288.09752661072503</v>
      </c>
      <c r="K49" s="54">
        <v>65.088384189415905</v>
      </c>
      <c r="L49" s="54">
        <v>15.396279546284299</v>
      </c>
    </row>
    <row r="50" spans="4:12">
      <c r="D50" t="s">
        <v>265</v>
      </c>
      <c r="E50">
        <v>265.374662365549</v>
      </c>
      <c r="F50">
        <v>151.65784121922701</v>
      </c>
      <c r="G50">
        <v>155.08404154863101</v>
      </c>
      <c r="H50">
        <v>328.486928923976</v>
      </c>
      <c r="I50">
        <v>216.41280563017699</v>
      </c>
      <c r="K50" s="54">
        <v>76.120891412238805</v>
      </c>
      <c r="L50" s="54">
        <v>7.9433048620971798</v>
      </c>
    </row>
    <row r="51" spans="4:12">
      <c r="D51" t="s">
        <v>267</v>
      </c>
      <c r="E51">
        <v>235.81925823319401</v>
      </c>
      <c r="F51">
        <v>235.81925823319401</v>
      </c>
      <c r="G51">
        <v>235.81925823319401</v>
      </c>
      <c r="H51">
        <v>235.81925823319401</v>
      </c>
      <c r="I51">
        <v>0</v>
      </c>
      <c r="K51" s="54">
        <v>65.836605664942695</v>
      </c>
      <c r="L51" s="54">
        <v>7.0977188891588803</v>
      </c>
    </row>
    <row r="52" spans="4:12">
      <c r="D52" t="s">
        <v>269</v>
      </c>
      <c r="E52">
        <v>517.03067943822396</v>
      </c>
      <c r="F52">
        <v>258.692596631784</v>
      </c>
      <c r="G52">
        <v>344.68497077819097</v>
      </c>
      <c r="H52">
        <v>519.84026110946695</v>
      </c>
      <c r="I52">
        <v>545.03568557423</v>
      </c>
      <c r="K52" s="54">
        <v>48.480864859617803</v>
      </c>
      <c r="L52" s="54">
        <v>17.207136446531699</v>
      </c>
    </row>
    <row r="53" spans="4:12">
      <c r="D53" t="s">
        <v>273</v>
      </c>
      <c r="E53">
        <v>501.81329543255703</v>
      </c>
      <c r="F53">
        <v>349.71323488210197</v>
      </c>
      <c r="G53">
        <v>422.99350614225</v>
      </c>
      <c r="H53">
        <v>552.41917561929495</v>
      </c>
      <c r="I53">
        <v>264.17185805834202</v>
      </c>
      <c r="K53" s="54">
        <v>49.4514909855531</v>
      </c>
      <c r="L53" s="54">
        <v>15.1335570926302</v>
      </c>
    </row>
    <row r="54" spans="4:12">
      <c r="D54" t="s">
        <v>277</v>
      </c>
      <c r="E54">
        <v>428.59076710478502</v>
      </c>
      <c r="F54">
        <v>350.34951374780297</v>
      </c>
      <c r="G54">
        <v>381.55079998384599</v>
      </c>
      <c r="H54">
        <v>418.89215456303901</v>
      </c>
      <c r="I54">
        <v>196.05571845035701</v>
      </c>
      <c r="K54" s="54">
        <v>58.473804013092597</v>
      </c>
      <c r="L54" s="54">
        <v>12.821529583646999</v>
      </c>
    </row>
    <row r="55" spans="4:12">
      <c r="D55" t="s">
        <v>281</v>
      </c>
      <c r="E55">
        <v>142.07092921224901</v>
      </c>
      <c r="F55">
        <v>142.07092921224901</v>
      </c>
      <c r="G55">
        <v>142.07092921224901</v>
      </c>
      <c r="H55">
        <v>142.07092921224901</v>
      </c>
      <c r="I55">
        <v>0</v>
      </c>
      <c r="K55" s="54">
        <v>93.677468939073705</v>
      </c>
      <c r="L55" s="54">
        <v>4.2445031726242499</v>
      </c>
    </row>
    <row r="56" spans="4:12">
      <c r="D56" t="s">
        <v>289</v>
      </c>
      <c r="E56">
        <v>531.49161762844199</v>
      </c>
      <c r="F56">
        <v>366.76617900402698</v>
      </c>
      <c r="G56">
        <v>531.49161762844199</v>
      </c>
      <c r="H56">
        <v>696.21705625285597</v>
      </c>
      <c r="I56">
        <v>232.95694937050399</v>
      </c>
      <c r="K56" s="54">
        <v>48.083395572978098</v>
      </c>
      <c r="L56" s="54">
        <v>16.352142189245399</v>
      </c>
    </row>
    <row r="57" spans="4:12">
      <c r="D57" t="s">
        <v>291</v>
      </c>
      <c r="E57">
        <v>266.62206995596802</v>
      </c>
      <c r="F57">
        <v>189.48633712944601</v>
      </c>
      <c r="G57">
        <v>193.47987201468601</v>
      </c>
      <c r="H57">
        <v>362.04335226780898</v>
      </c>
      <c r="I57">
        <v>131.324329831695</v>
      </c>
      <c r="K57" s="54">
        <v>60.877928411119598</v>
      </c>
      <c r="L57" s="54">
        <v>8.2193463370770399</v>
      </c>
    </row>
    <row r="58" spans="4:12">
      <c r="D58" t="s">
        <v>295</v>
      </c>
      <c r="E58">
        <v>176.343653033847</v>
      </c>
      <c r="F58">
        <v>176.343653033847</v>
      </c>
      <c r="G58">
        <v>176.343653033847</v>
      </c>
      <c r="H58">
        <v>176.343653033847</v>
      </c>
      <c r="I58">
        <v>0</v>
      </c>
      <c r="K58" s="54">
        <v>92.099422318930294</v>
      </c>
      <c r="L58" s="54">
        <v>5.5340628973496404</v>
      </c>
    </row>
    <row r="59" spans="4:12">
      <c r="D59" t="s">
        <v>297</v>
      </c>
      <c r="E59">
        <v>235.61472296181901</v>
      </c>
      <c r="F59">
        <v>183.396215903697</v>
      </c>
      <c r="G59">
        <v>246.14896625620599</v>
      </c>
      <c r="H59">
        <v>287.83323001994199</v>
      </c>
      <c r="I59">
        <v>73.651775899901693</v>
      </c>
      <c r="K59" s="54">
        <v>65.798913383455897</v>
      </c>
      <c r="L59" s="54">
        <v>7.2122102310549403</v>
      </c>
    </row>
    <row r="60" spans="4:12">
      <c r="D60" t="s">
        <v>301</v>
      </c>
      <c r="E60">
        <v>377.086332281799</v>
      </c>
      <c r="F60">
        <v>267.75540390047303</v>
      </c>
      <c r="G60">
        <v>326.22347991097803</v>
      </c>
      <c r="H60">
        <v>412.38557572490402</v>
      </c>
      <c r="I60">
        <v>172.68048980459901</v>
      </c>
      <c r="K60" s="54">
        <v>54.794124006345001</v>
      </c>
      <c r="L60" s="54">
        <v>11.912175146887799</v>
      </c>
    </row>
    <row r="61" spans="4:12">
      <c r="D61" t="s">
        <v>305</v>
      </c>
      <c r="E61">
        <v>339.64185378682203</v>
      </c>
      <c r="F61">
        <v>240.34819215168699</v>
      </c>
      <c r="G61">
        <v>311.10104801764101</v>
      </c>
      <c r="H61">
        <v>338.76277629595899</v>
      </c>
      <c r="I61">
        <v>239.03132516199901</v>
      </c>
      <c r="K61" s="54">
        <v>66.171562528419699</v>
      </c>
      <c r="L61" s="54">
        <v>10.1073131821261</v>
      </c>
    </row>
    <row r="62" spans="4:12">
      <c r="D62" t="s">
        <v>309</v>
      </c>
      <c r="E62">
        <v>439.45429125634701</v>
      </c>
      <c r="F62">
        <v>389.02653568326599</v>
      </c>
      <c r="G62">
        <v>415.03081893588899</v>
      </c>
      <c r="H62">
        <v>455.278264346507</v>
      </c>
      <c r="I62">
        <v>90.605709889484999</v>
      </c>
      <c r="K62" s="54">
        <v>52.365492772804103</v>
      </c>
      <c r="L62" s="54">
        <v>13.2424125824023</v>
      </c>
    </row>
    <row r="63" spans="4:12">
      <c r="D63" t="s">
        <v>311</v>
      </c>
      <c r="E63">
        <v>241.71134820790201</v>
      </c>
      <c r="F63">
        <v>241.71134820790201</v>
      </c>
      <c r="G63">
        <v>241.71134820790201</v>
      </c>
      <c r="H63">
        <v>241.71134820790201</v>
      </c>
      <c r="I63">
        <v>0</v>
      </c>
      <c r="K63" s="54">
        <v>65.438709901825504</v>
      </c>
      <c r="L63" s="54">
        <v>6.93037408453515</v>
      </c>
    </row>
    <row r="64" spans="4:12">
      <c r="D64" t="s">
        <v>20</v>
      </c>
      <c r="E64">
        <v>451.70534105086</v>
      </c>
      <c r="F64">
        <v>312.311462166767</v>
      </c>
      <c r="G64">
        <v>398.02479834971302</v>
      </c>
      <c r="H64">
        <v>515.15071624919995</v>
      </c>
      <c r="I64">
        <v>357.501149713453</v>
      </c>
      <c r="K64" s="54">
        <v>50.009182351796397</v>
      </c>
      <c r="L64" s="54">
        <v>13.591696447803701</v>
      </c>
    </row>
    <row r="65" spans="4:12">
      <c r="D65" t="s">
        <v>314</v>
      </c>
      <c r="E65">
        <v>284.58052521272998</v>
      </c>
      <c r="F65">
        <v>266.63028212603098</v>
      </c>
      <c r="G65">
        <v>289.10196787920802</v>
      </c>
      <c r="H65">
        <v>301.04839987127798</v>
      </c>
      <c r="I65">
        <v>25.245499733842301</v>
      </c>
      <c r="K65" s="54">
        <v>60.628689830351099</v>
      </c>
      <c r="L65" s="54">
        <v>8.8300094431128393</v>
      </c>
    </row>
    <row r="66" spans="4:12">
      <c r="D66" t="s">
        <v>328</v>
      </c>
      <c r="E66">
        <v>327.42898452208198</v>
      </c>
      <c r="F66">
        <v>194.735710516513</v>
      </c>
      <c r="G66">
        <v>239.36150480033101</v>
      </c>
      <c r="H66">
        <v>342.55806516303602</v>
      </c>
      <c r="I66">
        <v>225.39731026015099</v>
      </c>
      <c r="K66" s="54">
        <v>60.494072872271403</v>
      </c>
      <c r="L66" s="54">
        <v>9.2326902187566997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水调控与水碳耦合课题组</dc:creator>
  <cp:lastModifiedBy>Xiao Li</cp:lastModifiedBy>
  <dcterms:created xsi:type="dcterms:W3CDTF">2022-11-24T18:18:00Z</dcterms:created>
  <dcterms:modified xsi:type="dcterms:W3CDTF">2025-09-02T16:10:18Z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F20BD77531B746F5BF13EC6746201C49</vt:lpwstr>
  </property>
  <property fmtid="{D5CDD505-2E9C-101B-9397-08002B2CF9AE}" pid="3" name="KSOProductBuildVer">
    <vt:lpwstr>1033-12.2.0.21931</vt:lpwstr>
  </property>
</Properties>
</file>