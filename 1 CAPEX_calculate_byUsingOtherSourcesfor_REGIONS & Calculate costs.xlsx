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7060" firstSheet="4" activeTab="5"/>
  </bookViews>
  <sheets>
    <sheet name="NOUSELCOE_Expand_toAPS" sheetId="19" r:id="rId1"/>
    <sheet name="NOUSE" sheetId="20" r:id="rId2"/>
    <sheet name="Summari-ForCount (2030)" sheetId="17" r:id="rId3"/>
    <sheet name="Summari-ForCount (Current&amp;2050)" sheetId="16" r:id="rId4"/>
    <sheet name="Summarize-ForReg(2030)" sheetId="18" r:id="rId5"/>
    <sheet name="Summarize-ForReg(Current&amp;2050)" sheetId="13" r:id="rId6"/>
    <sheet name="Attached_WEO2023" sheetId="12" r:id="rId7"/>
    <sheet name="Attached-IRENA2024 report" sheetId="8" r:id="rId8"/>
    <sheet name="Attached-IEA2020Projected Costs" sheetId="9" r:id="rId9"/>
    <sheet name="Attached-DIB_GNESTE_Solar_Power" sheetId="10" r:id="rId10"/>
    <sheet name="NOUSEAttach-GNESTE-solar_power" sheetId="11" r:id="rId11"/>
    <sheet name="OthersRegion_areAvai_inWEO2024" sheetId="6" r:id="rId12"/>
    <sheet name="Sheet1" sheetId="14" r:id="rId13"/>
  </sheets>
  <externalReferences>
    <externalReference r:id="rId14"/>
  </externalReferences>
  <definedNames>
    <definedName name="_xlnm._FilterDatabase" localSheetId="9" hidden="1">'Attached-DIB_GNESTE_Solar_Power'!$E$1:$E$401</definedName>
    <definedName name="Coal_trade">#REF!</definedName>
    <definedName name="Fuels">#REF!</definedName>
    <definedName name="gasdemand">#REF!</definedName>
    <definedName name="INDIC_T6_APS">#REF!</definedName>
    <definedName name="INDIC_T6_NZE">#REF!</definedName>
    <definedName name="INDIC_T6_STEPS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H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The record of latest year-2023</t>
        </r>
      </text>
    </comment>
    <comment ref="O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Exclude the reviewing records from WEO, IEA2020, and IRENA to avoild duplication</t>
        </r>
      </text>
    </comment>
    <comment ref="O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Average of records from latest year</t>
        </r>
      </text>
    </comment>
    <comment ref="I27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Average of the two records</t>
        </r>
      </text>
    </comment>
    <comment ref="E3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DNV, 2023</t>
        </r>
      </text>
    </comment>
    <comment ref="A8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From WEO2023 PG assumptions</t>
        </r>
      </text>
    </comment>
  </commentList>
</comments>
</file>

<file path=xl/comments2.xml><?xml version="1.0" encoding="utf-8"?>
<comments xmlns="http://schemas.openxmlformats.org/spreadsheetml/2006/main">
  <authors>
    <author>xli9</author>
  </authors>
  <commentList>
    <comment ref="H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The record of latest year-2023</t>
        </r>
      </text>
    </comment>
    <comment ref="O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Exclude the reviewing records from WEO, IEA2020, and IRENA to avoild duplication</t>
        </r>
      </text>
    </comment>
    <comment ref="O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Average of records from latest year</t>
        </r>
      </text>
    </comment>
    <comment ref="BF8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From 1 CAPEX_Costs_calculation_forthoseCAPEXdetailedinWEO2023PGAssumtions.xlsx</t>
        </r>
      </text>
    </comment>
    <comment ref="BG8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From 1 CAPEX_Costs_calculation_forthoseCAPEXdetailedinWEO2023PGAssumtions.xlsx</t>
        </r>
      </text>
    </comment>
    <comment ref="I27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Average of the two records</t>
        </r>
      </text>
    </comment>
    <comment ref="E3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DNV, 2023</t>
        </r>
      </text>
    </comment>
    <comment ref="A8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From WEO2023 PG assumptions</t>
        </r>
      </text>
    </comment>
  </commentList>
</comments>
</file>

<file path=xl/comments3.xml><?xml version="1.0" encoding="utf-8"?>
<comments xmlns="http://schemas.openxmlformats.org/spreadsheetml/2006/main">
  <authors>
    <author>xli9</author>
  </authors>
  <commentList>
    <comment ref="H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The record of latest year-2023</t>
        </r>
      </text>
    </comment>
    <comment ref="O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Exclude the reviewing records from WEO, IEA2020, and IRENA to avoild duplication</t>
        </r>
      </text>
    </comment>
    <comment ref="O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Average of records from latest year</t>
        </r>
      </text>
    </comment>
    <comment ref="I27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Average of the two records</t>
        </r>
      </text>
    </comment>
    <comment ref="E3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DNV, 2023</t>
        </r>
      </text>
    </comment>
    <comment ref="D69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Weighted average of all regions (BY USING CAPACITY, for rooftop PV in 2023)</t>
        </r>
      </text>
    </comment>
    <comment ref="F8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From 1 CAPEX_Costs_calculation_forthoseCAPEXdetailedinWEO2023PGAssumtions.xlsx</t>
        </r>
      </text>
    </comment>
    <comment ref="J8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We have not used the calculated data because the WEO2023-PGassumption detailed the CAPEX</t>
        </r>
      </text>
    </comment>
  </commentList>
</comments>
</file>

<file path=xl/comments4.xml><?xml version="1.0" encoding="utf-8"?>
<comments xmlns="http://schemas.openxmlformats.org/spreadsheetml/2006/main">
  <authors>
    <author>xli9</author>
  </authors>
  <commentList>
    <comment ref="H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The record of latest year-2023</t>
        </r>
      </text>
    </comment>
    <comment ref="O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Exclude the reviewing records from WEO, IEA2020, and IRENA to avoild duplication</t>
        </r>
      </text>
    </comment>
    <comment ref="O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Average of records from latest year</t>
        </r>
      </text>
    </comment>
    <comment ref="BF8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From 1 CAPEX_Costs_calculation_forthoseCAPEXdetailedinWEO2023PGAssumtions.xlsx</t>
        </r>
      </text>
    </comment>
    <comment ref="BG8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From 1 CAPEX_Costs_calculation_forthoseCAPEXdetailedinWEO2023PGAssumtions.xlsx</t>
        </r>
      </text>
    </comment>
    <comment ref="I27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Average of the two records</t>
        </r>
      </text>
    </comment>
    <comment ref="E3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DNV, 2023</t>
        </r>
      </text>
    </comment>
    <comment ref="D69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Weighted average of all regions (BY USING CAPACITY, for rooftop PV in 2023)</t>
        </r>
      </text>
    </comment>
    <comment ref="F8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From 1 CAPEX_Costs_calculation_forthoseCAPEXdetailedinWEO2023PGAssumtions.xlsx</t>
        </r>
      </text>
    </comment>
    <comment ref="J8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We have not used the calculated data because the WEO2023-PGassumption detailed the CAPEX</t>
        </r>
      </text>
    </comment>
  </commentList>
</comments>
</file>

<file path=xl/comments5.xml><?xml version="1.0" encoding="utf-8"?>
<comments xmlns="http://schemas.openxmlformats.org/spreadsheetml/2006/main">
  <authors>
    <author>xli9</author>
  </authors>
  <commentList>
    <comment ref="E395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Including all data of Asia and Ocenia
1. we default all unspecified as large, ground-mounted PV</t>
        </r>
      </text>
    </comment>
    <comment ref="E398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We split the data of Russia (which belongs to Europe originally), to Eurasia, according to the category of IEA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<sst xmlns="http://schemas.openxmlformats.org/spreadsheetml/2006/main" count="3348" uniqueCount="555">
  <si>
    <t>CAPEX-Large</t>
  </si>
  <si>
    <t>ANM-Large</t>
  </si>
  <si>
    <t>CAPEX-rooftop</t>
  </si>
  <si>
    <t>ANM-rooftop</t>
  </si>
  <si>
    <t xml:space="preserve">This spreadsheet contains the derived ANM rather than </t>
  </si>
  <si>
    <t>Update 2023</t>
  </si>
  <si>
    <t>European Union</t>
  </si>
  <si>
    <t>United States</t>
  </si>
  <si>
    <t>Japan</t>
  </si>
  <si>
    <t>Russia</t>
  </si>
  <si>
    <t>China</t>
  </si>
  <si>
    <t>India</t>
  </si>
  <si>
    <t>Middle East</t>
  </si>
  <si>
    <t>Africa</t>
  </si>
  <si>
    <t>Brazil</t>
  </si>
  <si>
    <t>PV capacity</t>
  </si>
  <si>
    <t>Which input to LCOE calculation code</t>
  </si>
  <si>
    <t>OM-Large</t>
  </si>
  <si>
    <t>CAPEX-Rooftop</t>
  </si>
  <si>
    <t>OM-Rooftop</t>
  </si>
  <si>
    <t>APS-2030</t>
  </si>
  <si>
    <t>APS-2050</t>
  </si>
  <si>
    <t xml:space="preserve">This spreadsheet contains the NZE_ ANM rather than </t>
  </si>
  <si>
    <t>Annual O&amp;M Costs
(USD/kW)</t>
  </si>
  <si>
    <t>Large</t>
  </si>
  <si>
    <t>Rooftop</t>
  </si>
  <si>
    <t>*Priciple: Exclusive the duplicate records from WEO, IEA2020, IRENA from Data of Brief; Use the record of now (preferring latest year); if there are multiple records in a same reference (except those notifying maximum or minimum value), average them to represent the figure for this reference</t>
  </si>
  <si>
    <t>WEO2024 (large, ground-mounted)</t>
  </si>
  <si>
    <t>WEO2024 (rooftop)</t>
  </si>
  <si>
    <t>IRENA2024 (large, ground-mounted)</t>
  </si>
  <si>
    <t>IEA2020 (large, ground-mounted, 3% disc-rate)</t>
  </si>
  <si>
    <t>IEA2020 (large, ground-mounted, 7% discount rate)</t>
  </si>
  <si>
    <t>IEA2020 (large, ground-mounted, 10% discount rate)</t>
  </si>
  <si>
    <t>IEA2020 (rooftop, 3% disc-rate)</t>
  </si>
  <si>
    <t>IEA2020 (rooftop, 7% discount rate)</t>
  </si>
  <si>
    <t>IEA2020 (rooftop, 10% discount rate)</t>
  </si>
  <si>
    <t>Hatton et al., 2024 (large, ground-mounted)</t>
  </si>
  <si>
    <t>USA</t>
  </si>
  <si>
    <t>Europe</t>
  </si>
  <si>
    <t>EU-27</t>
  </si>
  <si>
    <t>Stated Policies (STEPS)</t>
  </si>
  <si>
    <t>Announced Pledges (APS)</t>
  </si>
  <si>
    <t>Greece</t>
  </si>
  <si>
    <t>Netherlands</t>
  </si>
  <si>
    <t>Germany</t>
  </si>
  <si>
    <t>United Kingdom</t>
  </si>
  <si>
    <t>Portugal</t>
  </si>
  <si>
    <t>France</t>
  </si>
  <si>
    <t>BRZ</t>
  </si>
  <si>
    <t>Italy</t>
  </si>
  <si>
    <t>Spain</t>
  </si>
  <si>
    <t>Turkey</t>
  </si>
  <si>
    <t>Hungary</t>
  </si>
  <si>
    <t>Belgium</t>
  </si>
  <si>
    <t>Cyprus</t>
  </si>
  <si>
    <t>Slovakia</t>
  </si>
  <si>
    <t>Romania</t>
  </si>
  <si>
    <t>Latvia</t>
  </si>
  <si>
    <t>Estonia</t>
  </si>
  <si>
    <t>Poland</t>
  </si>
  <si>
    <t>Ireland</t>
  </si>
  <si>
    <t>Luxembourg</t>
  </si>
  <si>
    <t>Austria</t>
  </si>
  <si>
    <t>Czech Republic</t>
  </si>
  <si>
    <t>Bulgaria</t>
  </si>
  <si>
    <t>Denmark</t>
  </si>
  <si>
    <t>Norway</t>
  </si>
  <si>
    <t>CN</t>
  </si>
  <si>
    <t>Croatia</t>
  </si>
  <si>
    <t>South America</t>
  </si>
  <si>
    <t>Chile</t>
  </si>
  <si>
    <t>Argentina</t>
  </si>
  <si>
    <t>North America</t>
  </si>
  <si>
    <t>Canada</t>
  </si>
  <si>
    <t>Mexico</t>
  </si>
  <si>
    <t>ASEAN</t>
  </si>
  <si>
    <t>Eurasia</t>
  </si>
  <si>
    <t>Asia Pacific</t>
  </si>
  <si>
    <t>Republic of Korea</t>
  </si>
  <si>
    <t>Australia</t>
  </si>
  <si>
    <t>Indonesia</t>
  </si>
  <si>
    <t>Malaysia</t>
  </si>
  <si>
    <t>Philippines</t>
  </si>
  <si>
    <t>Thailand</t>
  </si>
  <si>
    <t>Asia</t>
  </si>
  <si>
    <t>Southeast Asia</t>
  </si>
  <si>
    <t>OECD Asia &amp; Oceania</t>
  </si>
  <si>
    <t>Global</t>
  </si>
  <si>
    <t>CAPEX</t>
  </si>
  <si>
    <t>Current-2023</t>
  </si>
  <si>
    <t>SPS-2030</t>
  </si>
  <si>
    <t>NZE-2030</t>
  </si>
  <si>
    <t>Large, ground-mounted PV</t>
  </si>
  <si>
    <t>Rooftop PV</t>
  </si>
  <si>
    <t>Differences</t>
  </si>
  <si>
    <t>Capacity</t>
  </si>
  <si>
    <t>SPS-2050</t>
  </si>
  <si>
    <t>Should refer to PG assumption file</t>
  </si>
  <si>
    <t>-</t>
  </si>
  <si>
    <t>Costs related to CAPEX</t>
  </si>
  <si>
    <t>Current (2023)</t>
  </si>
  <si>
    <t>Recalculated but not applied</t>
  </si>
  <si>
    <t>Solar photovoltaics - Large scale unit</t>
  </si>
  <si>
    <t>50-PCT</t>
  </si>
  <si>
    <t>Solar photovoltaics - Buildings</t>
  </si>
  <si>
    <t>40-pct</t>
  </si>
  <si>
    <t>30-pct</t>
  </si>
  <si>
    <t>20-pct</t>
  </si>
  <si>
    <t>10-pct</t>
  </si>
  <si>
    <t>0-pct</t>
  </si>
  <si>
    <t>Baseline PV generation mix (40% rooftop vs. 60% ground-mounted)</t>
  </si>
  <si>
    <t>Capital expenditure ($ billion)</t>
  </si>
  <si>
    <t>NZE-2050</t>
  </si>
  <si>
    <t>EUR</t>
  </si>
  <si>
    <t>CSA</t>
  </si>
  <si>
    <t>BR</t>
  </si>
  <si>
    <t>NA</t>
  </si>
  <si>
    <t>RU</t>
  </si>
  <si>
    <t>APJ</t>
  </si>
  <si>
    <t>ME</t>
  </si>
  <si>
    <t>IN</t>
  </si>
  <si>
    <t>AF</t>
  </si>
  <si>
    <t>JP</t>
  </si>
  <si>
    <t>50% rooftop, 50% ground-mounted</t>
  </si>
  <si>
    <t>60% rooftop, 40% ground-mounted</t>
  </si>
  <si>
    <t>70% rooftop, 30% ground-mounted</t>
  </si>
  <si>
    <t>80% rooftop, 20% ground-mounted</t>
  </si>
  <si>
    <t>90% rooftop, 10% ground-mounted</t>
  </si>
  <si>
    <t>100% rooftop (zero ground-mounted)</t>
  </si>
  <si>
    <t xml:space="preserve">G-PV: APS's CAPEX </t>
  </si>
  <si>
    <t>R-PV: APS's CAPEX</t>
  </si>
  <si>
    <t>Inputting to Origin: additional cost: SPS-2050</t>
  </si>
  <si>
    <t>Inputting to Origin: additional cost: APS-2050</t>
  </si>
  <si>
    <t>Estimatec CAPEX based on 2023: for G-PVs [we gave up that plan since APS abnormal values]</t>
  </si>
  <si>
    <t>Reported values</t>
  </si>
  <si>
    <t>Estimatec CAPEX based on 2050's SPS</t>
  </si>
  <si>
    <t>3 460</t>
  </si>
  <si>
    <t>2 200</t>
  </si>
  <si>
    <t>1 490</t>
  </si>
  <si>
    <t>1 610</t>
  </si>
  <si>
    <t>1 080</t>
  </si>
  <si>
    <t>1 850</t>
  </si>
  <si>
    <t>1 280</t>
  </si>
  <si>
    <t>Cost components across</t>
  </si>
  <si>
    <t>SPS</t>
  </si>
  <si>
    <t>APS</t>
  </si>
  <si>
    <t>NZE</t>
  </si>
  <si>
    <t>geographies over years and scenarios</t>
  </si>
  <si>
    <t>CAPEX ($/kW)</t>
  </si>
  <si>
    <t>AOM ($/kW)</t>
  </si>
  <si>
    <t>NZE-CAPEX ($/kW)</t>
  </si>
  <si>
    <t>NZE-AOM ($/kW)</t>
  </si>
  <si>
    <t>($/kW)</t>
  </si>
  <si>
    <t>Present year</t>
  </si>
  <si>
    <t>Large,ground-mounted PV</t>
  </si>
  <si>
    <t>EUR#</t>
  </si>
  <si>
    <t>711*</t>
  </si>
  <si>
    <t>629*</t>
  </si>
  <si>
    <t>10*</t>
  </si>
  <si>
    <t>9*</t>
  </si>
  <si>
    <t>NA#</t>
  </si>
  <si>
    <t>1 120</t>
  </si>
  <si>
    <t>704*</t>
  </si>
  <si>
    <t>502*</t>
  </si>
  <si>
    <t>7*</t>
  </si>
  <si>
    <t>Eurasia#</t>
  </si>
  <si>
    <t>1 710</t>
  </si>
  <si>
    <t>1 090</t>
  </si>
  <si>
    <t>1261*</t>
  </si>
  <si>
    <t>833*</t>
  </si>
  <si>
    <t>19*</t>
  </si>
  <si>
    <t>13*</t>
  </si>
  <si>
    <t>APJ#</t>
  </si>
  <si>
    <t>1 910</t>
  </si>
  <si>
    <t>1 250</t>
  </si>
  <si>
    <t>1645*</t>
  </si>
  <si>
    <t>1514*</t>
  </si>
  <si>
    <t>24*</t>
  </si>
  <si>
    <t>22*</t>
  </si>
  <si>
    <t>1 180</t>
  </si>
  <si>
    <t>434*</t>
  </si>
  <si>
    <t>308*</t>
  </si>
  <si>
    <t>5*</t>
  </si>
  <si>
    <t>407*</t>
  </si>
  <si>
    <t>245*</t>
  </si>
  <si>
    <t>6*</t>
  </si>
  <si>
    <t>4*</t>
  </si>
  <si>
    <t>ASEAN#</t>
  </si>
  <si>
    <t>300*</t>
  </si>
  <si>
    <t>155*</t>
  </si>
  <si>
    <t>2*</t>
  </si>
  <si>
    <t>1 420</t>
  </si>
  <si>
    <t>671*</t>
  </si>
  <si>
    <t>390*</t>
  </si>
  <si>
    <t>CSA#</t>
  </si>
  <si>
    <t>513*</t>
  </si>
  <si>
    <t>423*</t>
  </si>
  <si>
    <t>8*</t>
  </si>
  <si>
    <t>1 320</t>
  </si>
  <si>
    <t>948*</t>
  </si>
  <si>
    <t>839*</t>
  </si>
  <si>
    <t>14*</t>
  </si>
  <si>
    <t>3 490</t>
  </si>
  <si>
    <t>2 160</t>
  </si>
  <si>
    <t>1 510</t>
  </si>
  <si>
    <t>2192*</t>
  </si>
  <si>
    <t>1563*</t>
  </si>
  <si>
    <t>33*</t>
  </si>
  <si>
    <t>23*</t>
  </si>
  <si>
    <t>2 020</t>
  </si>
  <si>
    <t>1 390</t>
  </si>
  <si>
    <t>2 210</t>
  </si>
  <si>
    <t>1 440</t>
  </si>
  <si>
    <t>1 010</t>
  </si>
  <si>
    <t>1629*</t>
  </si>
  <si>
    <t>1077*</t>
  </si>
  <si>
    <t>25*</t>
  </si>
  <si>
    <t>17*</t>
  </si>
  <si>
    <t>1 200</t>
  </si>
  <si>
    <t>1 880</t>
  </si>
  <si>
    <t>1619*</t>
  </si>
  <si>
    <t>1491*</t>
  </si>
  <si>
    <t>1 210</t>
  </si>
  <si>
    <t>482*</t>
  </si>
  <si>
    <t>343*</t>
  </si>
  <si>
    <t>446*</t>
  </si>
  <si>
    <t>267*</t>
  </si>
  <si>
    <t>1 020</t>
  </si>
  <si>
    <t>493*</t>
  </si>
  <si>
    <t>255*</t>
  </si>
  <si>
    <t>1 970</t>
  </si>
  <si>
    <t>1 150</t>
  </si>
  <si>
    <t>930*</t>
  </si>
  <si>
    <t>541*</t>
  </si>
  <si>
    <t>1 000</t>
  </si>
  <si>
    <t>396*</t>
  </si>
  <si>
    <t>327*</t>
  </si>
  <si>
    <t>World</t>
  </si>
  <si>
    <t>Stated Policies (GW)</t>
  </si>
  <si>
    <t>Announced Pledges (GW)</t>
  </si>
  <si>
    <t>Net Zero Emissions by 2050 (GW)</t>
  </si>
  <si>
    <t>SPS2030</t>
  </si>
  <si>
    <t>SPS2050</t>
  </si>
  <si>
    <t>APS2030</t>
  </si>
  <si>
    <t>APS2050</t>
  </si>
  <si>
    <t>1 110</t>
  </si>
  <si>
    <t>1 260</t>
  </si>
  <si>
    <t>1 330</t>
  </si>
  <si>
    <t>50-pct</t>
  </si>
  <si>
    <t>1 830</t>
  </si>
  <si>
    <t>Baseline cost ($ billion)</t>
  </si>
  <si>
    <t>Historical</t>
  </si>
  <si>
    <t>Solar PV</t>
  </si>
  <si>
    <t>Figure 3.5 Utility-scale solar PV total installed cost trends in major utility-scale markets, 2018-2023</t>
  </si>
  <si>
    <t>This publication should be cited as: Citation: IRENA (2024), Renewable Power Generation Costs in 2023, International Renewable Energy Agency, Abu Dhabi.</t>
  </si>
  <si>
    <t>Figure 3.1 Global weighted average and range total installed costs, capacity factors and LCOE for solar PV, 2010-2023</t>
  </si>
  <si>
    <t>Region</t>
  </si>
  <si>
    <t>Country</t>
  </si>
  <si>
    <t>South Africa</t>
  </si>
  <si>
    <t>Total Installed Cost 2023 USD/kW</t>
  </si>
  <si>
    <t>Total installed cost (2023 USD/kW)</t>
  </si>
  <si>
    <t>% Difference from previous year</t>
  </si>
  <si>
    <t>5th percentile</t>
  </si>
  <si>
    <t>Weighted average</t>
  </si>
  <si>
    <t>95th percentile</t>
  </si>
  <si>
    <t>Capacity factor (%)</t>
  </si>
  <si>
    <t>LCOE (2023 USD/kWh)</t>
  </si>
  <si>
    <t>Saudi Arabia</t>
  </si>
  <si>
    <t>Oceania</t>
  </si>
  <si>
    <t xml:space="preserve">Additional information from Figure 3.4 </t>
  </si>
  <si>
    <t xml:space="preserve">Additional information from Figure 3.6 </t>
  </si>
  <si>
    <t>Russian Federation</t>
  </si>
  <si>
    <t>Global (median value)</t>
  </si>
  <si>
    <t>Source: IEA. NEA. All rights reserved</t>
  </si>
  <si>
    <t>https://www.iea.org/reports/projected-costs-of-generating-electricity-2020</t>
  </si>
  <si>
    <t>Back to the table of content</t>
  </si>
  <si>
    <t>www.oecd-nea.org/egc-2020</t>
  </si>
  <si>
    <t>Table 3.5: Solar generating technologies</t>
  </si>
  <si>
    <t>Projected Costs of Generating Electricity 2020</t>
  </si>
  <si>
    <t>Technology</t>
  </si>
  <si>
    <t>Net capacity* (MWe)</t>
  </si>
  <si>
    <t>Capacity 
factor (%)</t>
  </si>
  <si>
    <t>Annual efficiency loss (%)</t>
  </si>
  <si>
    <t>Overnight costs (USD/kWe)</t>
  </si>
  <si>
    <t>Investment costs (USD/kWe)</t>
  </si>
  <si>
    <t>Solar PV (residential)</t>
  </si>
  <si>
    <t>Solar PV (utility scale)</t>
  </si>
  <si>
    <t>Belgium**</t>
  </si>
  <si>
    <t>Solar PV (commercial)</t>
  </si>
  <si>
    <t>Italy**</t>
  </si>
  <si>
    <t>Korea</t>
  </si>
  <si>
    <t>Solar PV (residential)***</t>
  </si>
  <si>
    <t>Solar PV (commercial)***</t>
  </si>
  <si>
    <t>Solar PV (utility scale)***</t>
  </si>
  <si>
    <t>Non-OECD countries</t>
  </si>
  <si>
    <t>* All values represent AC capacity.</t>
  </si>
  <si>
    <t>** A generic sizing factor of 1.2 was used to convert peak DC capacity into peak AC capacity.</t>
  </si>
  <si>
    <t xml:space="preserve">*** Indicated as reference datasets by the providing country. </t>
  </si>
  <si>
    <t>APJ-Large PV</t>
  </si>
  <si>
    <t>APJ-Rooftop PV</t>
  </si>
  <si>
    <t>Europe-Large PV</t>
  </si>
  <si>
    <t>Europe-Rooftop PV</t>
  </si>
  <si>
    <t>NA-large PV</t>
  </si>
  <si>
    <t>NA-Rooftop PV</t>
  </si>
  <si>
    <t>CSA-Large PV</t>
  </si>
  <si>
    <t>Source: The Global and National Energy Systems Techno-Economic (GNESTE) Database: Solar Power</t>
  </si>
  <si>
    <t>ID</t>
  </si>
  <si>
    <t>Continent</t>
  </si>
  <si>
    <t>ISO2</t>
  </si>
  <si>
    <t>ISO3</t>
  </si>
  <si>
    <t>Variable</t>
  </si>
  <si>
    <t>Code</t>
  </si>
  <si>
    <t>Unit</t>
  </si>
  <si>
    <t>Category</t>
  </si>
  <si>
    <t>Source</t>
  </si>
  <si>
    <t>Notes</t>
  </si>
  <si>
    <t>Currency</t>
  </si>
  <si>
    <t>Energy/Power Ratio</t>
  </si>
  <si>
    <t>Solar</t>
  </si>
  <si>
    <t>S0002</t>
  </si>
  <si>
    <t>IDN</t>
  </si>
  <si>
    <t>Capital Cost</t>
  </si>
  <si>
    <t>USD/kW</t>
  </si>
  <si>
    <t>Unspecified</t>
  </si>
  <si>
    <t>ASEAN Centre for Energy, 2019</t>
  </si>
  <si>
    <t>Highest out of 2 data points for large-scale solar PV</t>
  </si>
  <si>
    <t>From 2019 USD to 2023 USD = 1.12020</t>
  </si>
  <si>
    <t>S0003</t>
  </si>
  <si>
    <t>Lowest out of 2 data points for large-scale solar PV</t>
  </si>
  <si>
    <t>S0004</t>
  </si>
  <si>
    <t>MY</t>
  </si>
  <si>
    <t>MYS</t>
  </si>
  <si>
    <t>Highest out of 6 data points for large-scale solar PV</t>
  </si>
  <si>
    <t>S0005</t>
  </si>
  <si>
    <t>Lowest out of 6 data points for large-scale solar PV</t>
  </si>
  <si>
    <t>S0006</t>
  </si>
  <si>
    <t>PH</t>
  </si>
  <si>
    <t>PHL</t>
  </si>
  <si>
    <t>Highest out of 4 data points for large-scale solar PV</t>
  </si>
  <si>
    <t>S0007</t>
  </si>
  <si>
    <t>Lowest out of 4 data points for large-scale solar PV</t>
  </si>
  <si>
    <t>S0008</t>
  </si>
  <si>
    <t>TH</t>
  </si>
  <si>
    <t>THA</t>
  </si>
  <si>
    <t>S0009</t>
  </si>
  <si>
    <t>S0010</t>
  </si>
  <si>
    <t>Capacity-weighted average for large-scale solar PV</t>
  </si>
  <si>
    <t>Nominal WACC for utility scale. Real WACC is 2.1%</t>
  </si>
  <si>
    <t>S0014</t>
  </si>
  <si>
    <t>United States of America</t>
  </si>
  <si>
    <t>US</t>
  </si>
  <si>
    <t>Single Axis Tracking</t>
  </si>
  <si>
    <t>EIA, 2020</t>
  </si>
  <si>
    <t>S0016</t>
  </si>
  <si>
    <t>EIA, 2024</t>
  </si>
  <si>
    <t>In 2023 USD</t>
  </si>
  <si>
    <t>S0018</t>
  </si>
  <si>
    <t>AU</t>
  </si>
  <si>
    <t>AUS</t>
  </si>
  <si>
    <t>CSIRO, 2023</t>
  </si>
  <si>
    <t>Under the Current Policies scenario</t>
  </si>
  <si>
    <t>From 2023 AUD to 2023 USD = 0.65730</t>
  </si>
  <si>
    <t>S0019</t>
  </si>
  <si>
    <t>Under the Global NZE by 2050 scenario</t>
  </si>
  <si>
    <t>S0020</t>
  </si>
  <si>
    <t>Under the Global NZE post 2050 scenario</t>
  </si>
  <si>
    <t>S0024</t>
  </si>
  <si>
    <t>IND</t>
  </si>
  <si>
    <t>Danish Energy Agency, 2022</t>
  </si>
  <si>
    <t>Large scale utility systems</t>
  </si>
  <si>
    <t>From 2020 IRP to 2023 USD = 0.0148565</t>
  </si>
  <si>
    <t>S0025</t>
  </si>
  <si>
    <t>ZA</t>
  </si>
  <si>
    <t>ZAF</t>
  </si>
  <si>
    <t>DMRE, 2019</t>
  </si>
  <si>
    <t>From 2017 USD to 2023 USD = 1.16892</t>
  </si>
  <si>
    <t>Dobrotkova, 2018</t>
  </si>
  <si>
    <t>Steffen, 2020</t>
  </si>
  <si>
    <t>S0065</t>
  </si>
  <si>
    <t>NL</t>
  </si>
  <si>
    <t>NLD</t>
  </si>
  <si>
    <t>ECN, 2019</t>
  </si>
  <si>
    <t>Min value</t>
  </si>
  <si>
    <t>From 2015 USD to 2023 USD = 1.19245</t>
  </si>
  <si>
    <t>S0066</t>
  </si>
  <si>
    <t>Average value</t>
  </si>
  <si>
    <t>S0067</t>
  </si>
  <si>
    <t>Max value</t>
  </si>
  <si>
    <t>S0069</t>
  </si>
  <si>
    <t>ASSET, 2018</t>
  </si>
  <si>
    <t>Projection 2018 Medium Potential Solar PV</t>
  </si>
  <si>
    <t>From 2018 EUR to 2023 USD = 1.21197</t>
  </si>
  <si>
    <t>S0071</t>
  </si>
  <si>
    <t>Projection 2018 High Potential Solar PV</t>
  </si>
  <si>
    <t>S0073</t>
  </si>
  <si>
    <t>Projection 2018 low potential solar PV</t>
  </si>
  <si>
    <t>S0075</t>
  </si>
  <si>
    <t>JRC, 2017</t>
  </si>
  <si>
    <t>From 2015 EUR to 2023 USD = 1.25458</t>
  </si>
  <si>
    <t>S0076</t>
  </si>
  <si>
    <t>Baseline value</t>
  </si>
  <si>
    <t>S0077</t>
  </si>
  <si>
    <t>S0081</t>
  </si>
  <si>
    <t>Fixed Axis</t>
  </si>
  <si>
    <t>S0082</t>
  </si>
  <si>
    <t>S0083</t>
  </si>
  <si>
    <t>S0088</t>
  </si>
  <si>
    <t>DE</t>
  </si>
  <si>
    <t>DEU</t>
  </si>
  <si>
    <t>Fraunhofer ISE, 2021</t>
  </si>
  <si>
    <t xml:space="preserve">Utility-scale PV, low estimate. </t>
  </si>
  <si>
    <t>From 2021 EUR to 2023 USD = 1.13948</t>
  </si>
  <si>
    <t>S0089</t>
  </si>
  <si>
    <t xml:space="preserve">Utility-scale PV, high estimate. </t>
  </si>
  <si>
    <t>Utility-scale PV, nominal WACC. Real is 2.5%</t>
  </si>
  <si>
    <t>IEA, 2021</t>
  </si>
  <si>
    <t>100MW Solar Project - WACC nominal post tax - Min Value</t>
  </si>
  <si>
    <t>100MW Solar Project - WACC nominal post tax - Max Value</t>
  </si>
  <si>
    <t>100MW Solar Project - WACC nominal post tax - Median Value</t>
  </si>
  <si>
    <t>CHN</t>
  </si>
  <si>
    <t>S0131</t>
  </si>
  <si>
    <t>IEA, 2020b</t>
  </si>
  <si>
    <t>From 2020 USD to 2023 USD = 1.10045</t>
  </si>
  <si>
    <t>S0132</t>
  </si>
  <si>
    <t>S0133</t>
  </si>
  <si>
    <t>BRA</t>
  </si>
  <si>
    <t>S0134</t>
  </si>
  <si>
    <t>S0135</t>
  </si>
  <si>
    <t>S0136</t>
  </si>
  <si>
    <t>MX</t>
  </si>
  <si>
    <t>MEX</t>
  </si>
  <si>
    <t>AT</t>
  </si>
  <si>
    <t>AUT</t>
  </si>
  <si>
    <t>CA</t>
  </si>
  <si>
    <t>CAN</t>
  </si>
  <si>
    <t>DK</t>
  </si>
  <si>
    <t>DNK</t>
  </si>
  <si>
    <t>FR</t>
  </si>
  <si>
    <t>FRA</t>
  </si>
  <si>
    <t>HU</t>
  </si>
  <si>
    <t>HUN</t>
  </si>
  <si>
    <t>IT</t>
  </si>
  <si>
    <t>ITA</t>
  </si>
  <si>
    <t>JPN</t>
  </si>
  <si>
    <t>KR</t>
  </si>
  <si>
    <t>KOR</t>
  </si>
  <si>
    <t>RUS</t>
  </si>
  <si>
    <t>CY</t>
  </si>
  <si>
    <t>CYP</t>
  </si>
  <si>
    <t>IE</t>
  </si>
  <si>
    <t>IRL</t>
  </si>
  <si>
    <t>HR</t>
  </si>
  <si>
    <t>HRV</t>
  </si>
  <si>
    <t>GR</t>
  </si>
  <si>
    <t>GRC</t>
  </si>
  <si>
    <t>PL</t>
  </si>
  <si>
    <t>POL</t>
  </si>
  <si>
    <t>PT</t>
  </si>
  <si>
    <t>PRT</t>
  </si>
  <si>
    <t>SI</t>
  </si>
  <si>
    <t>SVN</t>
  </si>
  <si>
    <t>AR</t>
  </si>
  <si>
    <t>ARG</t>
  </si>
  <si>
    <t>GB</t>
  </si>
  <si>
    <t>GBR</t>
  </si>
  <si>
    <t>EE</t>
  </si>
  <si>
    <t>EST</t>
  </si>
  <si>
    <t>CL</t>
  </si>
  <si>
    <t>CHL</t>
  </si>
  <si>
    <t>RO</t>
  </si>
  <si>
    <t>ROU</t>
  </si>
  <si>
    <t>BG</t>
  </si>
  <si>
    <t>BGR</t>
  </si>
  <si>
    <t>ES</t>
  </si>
  <si>
    <t>ESP</t>
  </si>
  <si>
    <t>TR</t>
  </si>
  <si>
    <t>TUR</t>
  </si>
  <si>
    <t>SA</t>
  </si>
  <si>
    <t>SAU</t>
  </si>
  <si>
    <t>AE</t>
  </si>
  <si>
    <t>ARE</t>
  </si>
  <si>
    <t>IRENA, 2023b</t>
  </si>
  <si>
    <t>Kumar et al., 2017</t>
  </si>
  <si>
    <t>S0309</t>
  </si>
  <si>
    <t>Lazard, 2023</t>
  </si>
  <si>
    <t>Mean</t>
  </si>
  <si>
    <t>S0312</t>
  </si>
  <si>
    <t>NREL, 2023a</t>
  </si>
  <si>
    <t>Conservative Scenario - low end of long term module effivency and expected improvements</t>
  </si>
  <si>
    <t>From 2021 USD to 2023 USD = 1.08628</t>
  </si>
  <si>
    <t>S0313</t>
  </si>
  <si>
    <t>Moderate Scenario - moderate long term module effiiciency with expected improvements and inovation</t>
  </si>
  <si>
    <t>S0314</t>
  </si>
  <si>
    <t>Advanced Scenario - high long term module efficiency with expected improvements and far from market ready innovations</t>
  </si>
  <si>
    <t>S0318</t>
  </si>
  <si>
    <t>NREL, 2023b</t>
  </si>
  <si>
    <t>From 2022 USD to 2023 USD = 1.03957</t>
  </si>
  <si>
    <t>S0320</t>
  </si>
  <si>
    <t>Danish Energy Agency, 2024</t>
  </si>
  <si>
    <t>Based on the IEA's Net Zero Emissions by 2050 Scenario 2021</t>
  </si>
  <si>
    <t>From 2020 EUR to 2023 USD = 1.16146</t>
  </si>
  <si>
    <t>S0321</t>
  </si>
  <si>
    <t>Based on the IEA's Announced Pledges Scenario 2021</t>
  </si>
  <si>
    <t>S0324</t>
  </si>
  <si>
    <t>Double Axis Tracking</t>
  </si>
  <si>
    <t>EIA, 2022</t>
  </si>
  <si>
    <t>S0325</t>
  </si>
  <si>
    <t>EIA, 2023</t>
  </si>
  <si>
    <t>S0330</t>
  </si>
  <si>
    <t>Solar PV with storage</t>
  </si>
  <si>
    <t>S0331</t>
  </si>
  <si>
    <t>S0336</t>
  </si>
  <si>
    <t>DNV, 2023</t>
  </si>
  <si>
    <t>S0337</t>
  </si>
  <si>
    <t>S0338</t>
  </si>
  <si>
    <t>S0339</t>
  </si>
  <si>
    <t>MENA</t>
  </si>
  <si>
    <t>S0340</t>
  </si>
  <si>
    <t>Russian Federation &amp; FSU</t>
  </si>
  <si>
    <t>S0341</t>
  </si>
  <si>
    <t>S0342</t>
  </si>
  <si>
    <t>S0343</t>
  </si>
  <si>
    <t>South East Asia</t>
  </si>
  <si>
    <t>S0344</t>
  </si>
  <si>
    <t>S0347</t>
  </si>
  <si>
    <t>TYNDP, 2022</t>
  </si>
  <si>
    <t>NT Scenario</t>
  </si>
  <si>
    <t>S0348</t>
  </si>
  <si>
    <t>DE Scenario</t>
  </si>
  <si>
    <t>S0349</t>
  </si>
  <si>
    <t>GA Scenario</t>
  </si>
  <si>
    <t>S0354</t>
  </si>
  <si>
    <t>S0355</t>
  </si>
  <si>
    <t>S0356</t>
  </si>
  <si>
    <t>S0365</t>
  </si>
  <si>
    <t>DESNZ, 2024</t>
  </si>
  <si>
    <t>20 MW</t>
  </si>
  <si>
    <t>From 2021 GBP to 2023 USD = 1.275538</t>
  </si>
  <si>
    <t>S0366</t>
  </si>
  <si>
    <t>S0367</t>
  </si>
  <si>
    <t>S0368</t>
  </si>
  <si>
    <t>50 kW</t>
  </si>
  <si>
    <t>S0369</t>
  </si>
  <si>
    <t>S0370</t>
  </si>
  <si>
    <t>S0371</t>
  </si>
  <si>
    <t>4 kW</t>
  </si>
  <si>
    <t>S0372</t>
  </si>
  <si>
    <t>S0373</t>
  </si>
  <si>
    <t>EUR-Large PV</t>
  </si>
  <si>
    <t>EUR-rooftop</t>
  </si>
  <si>
    <t>There is contradict about the global results, with GNESTE_Solar_Power spreadsheet, although they both sourced from same publication</t>
  </si>
  <si>
    <t>CAPEX (USD/kW)</t>
  </si>
  <si>
    <t>EU-27-Utility scale PV</t>
  </si>
  <si>
    <t>EU-27-Rooftop PV</t>
  </si>
  <si>
    <t>Africa-South africa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</si>
</sst>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%"/>
    <numFmt numFmtId="179" formatCode="0.000"/>
    <numFmt numFmtId="180" formatCode="0\ 000;\-0\ 000"/>
    <numFmt numFmtId="181" formatCode="[Green]\ &quot;▲&quot;0%;[Red]\ &quot;▼&quot;0%"/>
    <numFmt numFmtId="182" formatCode="#\ ###;\-#\ ###"/>
    <numFmt numFmtId="183" formatCode="[Green]\ &quot;▲&quot;0.0%;[Red]\ &quot;▼&quot;0.0%"/>
    <numFmt numFmtId="184" formatCode="#\ ##0;\-#\ ##0;\-"/>
    <numFmt numFmtId="185" formatCode="_([$$-409]* #,##0.00_);_([$$-409]* \(#,##0.00\);_([$$-409]* &quot;-&quot;??_);_(@_)"/>
    <numFmt numFmtId="186" formatCode="0_);[Red]\(0\)"/>
    <numFmt numFmtId="187" formatCode="0_ "/>
    <numFmt numFmtId="188" formatCode="0\ \ \ ;"/>
    <numFmt numFmtId="189" formatCode="#\ ##0\ \ \ ;\-#\ ##0\ \ \ ;\-\ \ \ "/>
    <numFmt numFmtId="190" formatCode="#.\ #0\ \ \ ;\-#.\ #0\ \ \ ;\-\ \ \ "/>
    <numFmt numFmtId="191" formatCode="#.000000\ ##0\ \ \ ;\-#.000000\ ##0\ \ \ ;\-\ \ \ "/>
    <numFmt numFmtId="192" formatCode="#.0\ ##0\ \ \ ;\-#.0\ ##0\ \ \ ;\-\ \ \ "/>
    <numFmt numFmtId="193" formatCode="#.0\ \ \ \ ;\-#.0\ \ \ \ ;\-\ \ \ "/>
    <numFmt numFmtId="194" formatCode="#\ ##0\ ;\-#\ ##0\ ;\-\ "/>
  </numFmts>
  <fonts count="6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u/>
      <sz val="12"/>
      <color rgb="FF800080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i/>
      <sz val="10"/>
      <name val="Calibri"/>
      <charset val="134"/>
      <scheme val="minor"/>
    </font>
    <font>
      <sz val="11"/>
      <color rgb="FF555555"/>
      <name val="Calibri"/>
      <charset val="134"/>
      <scheme val="minor"/>
    </font>
    <font>
      <b/>
      <sz val="10"/>
      <color rgb="FF2C95AB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rgb="FFFFFFFF"/>
      <name val="Calibri"/>
      <charset val="0"/>
    </font>
    <font>
      <b/>
      <sz val="10"/>
      <color rgb="FF2C95AB"/>
      <name val="Calibri"/>
      <charset val="0"/>
    </font>
    <font>
      <sz val="10"/>
      <color rgb="FF000000"/>
      <name val="Calibri"/>
      <charset val="0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0"/>
      <color theme="1"/>
      <name val="Times New Roman"/>
      <charset val="134"/>
    </font>
    <font>
      <b/>
      <sz val="1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9"/>
      <color theme="0"/>
      <name val="Aptos Narrow"/>
      <charset val="134"/>
    </font>
    <font>
      <sz val="9"/>
      <color theme="0" tint="-0.499984740745262"/>
      <name val="Aptos Narrow"/>
      <charset val="134"/>
    </font>
    <font>
      <b/>
      <sz val="11"/>
      <color theme="1"/>
      <name val="Times New Roman"/>
      <charset val="134"/>
    </font>
    <font>
      <b/>
      <i/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i/>
      <sz val="11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i/>
      <sz val="10"/>
      <color rgb="FFFF0000"/>
      <name val="Calibri"/>
      <charset val="134"/>
      <scheme val="minor"/>
    </font>
    <font>
      <i/>
      <sz val="11"/>
      <color theme="1"/>
      <name val="Times New Roman"/>
      <charset val="134"/>
    </font>
    <font>
      <sz val="10"/>
      <name val="Calibri"/>
      <charset val="0"/>
    </font>
    <font>
      <sz val="9"/>
      <color rgb="FF000000"/>
      <name val="Times New Roman"/>
      <charset val="134"/>
    </font>
    <font>
      <b/>
      <sz val="10"/>
      <color rgb="FFFFFFFF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imes New Roman"/>
      <charset val="134"/>
    </font>
    <font>
      <sz val="9"/>
      <name val="Times New Roman"/>
      <charset val="134"/>
    </font>
  </fonts>
  <fills count="5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2C95AB"/>
        <bgColor rgb="FF000000"/>
      </patternFill>
    </fill>
    <fill>
      <patternFill patternType="solid">
        <fgColor rgb="FFEAF0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2C95AB"/>
      </bottom>
      <diagonal/>
    </border>
    <border>
      <left/>
      <right/>
      <top style="thin">
        <color rgb="FF2C95AB"/>
      </top>
      <bottom/>
      <diagonal/>
    </border>
    <border>
      <left/>
      <right/>
      <top style="thin">
        <color theme="0"/>
      </top>
      <bottom style="thin">
        <color rgb="FF2C95AB"/>
      </bottom>
      <diagonal/>
    </border>
    <border>
      <left/>
      <right/>
      <top style="thin">
        <color theme="0"/>
      </top>
      <bottom/>
      <diagonal/>
    </border>
    <border>
      <left style="thin">
        <color rgb="FF2C95AB"/>
      </left>
      <right/>
      <top style="thin">
        <color rgb="FF2C95AB"/>
      </top>
      <bottom/>
      <diagonal/>
    </border>
    <border>
      <left style="thin">
        <color rgb="FF2C95AB"/>
      </left>
      <right/>
      <top/>
      <bottom style="thin">
        <color rgb="FF2C95AB"/>
      </bottom>
      <diagonal/>
    </border>
    <border>
      <left style="thin">
        <color theme="0" tint="-0.149845881527146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2C95AB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 tint="-0.1498153630176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31" borderId="24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52" fillId="0" borderId="25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32" borderId="27" applyNumberFormat="0" applyAlignment="0" applyProtection="0">
      <alignment vertical="center"/>
    </xf>
    <xf numFmtId="0" fontId="55" fillId="33" borderId="28" applyNumberFormat="0" applyAlignment="0" applyProtection="0">
      <alignment vertical="center"/>
    </xf>
    <xf numFmtId="0" fontId="56" fillId="33" borderId="27" applyNumberFormat="0" applyAlignment="0" applyProtection="0">
      <alignment vertical="center"/>
    </xf>
    <xf numFmtId="0" fontId="57" fillId="34" borderId="29" applyNumberFormat="0" applyAlignment="0" applyProtection="0">
      <alignment vertical="center"/>
    </xf>
    <xf numFmtId="0" fontId="58" fillId="0" borderId="30" applyNumberFormat="0" applyFill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</cellStyleXfs>
  <cellXfs count="467">
    <xf numFmtId="0" fontId="0" fillId="0" borderId="0" xfId="0"/>
    <xf numFmtId="1" fontId="1" fillId="2" borderId="0" xfId="0" applyNumberFormat="1" applyFont="1" applyFill="1" applyAlignment="1">
      <alignment horizontal="center" vertical="center" wrapText="1"/>
    </xf>
    <xf numFmtId="9" fontId="1" fillId="2" borderId="0" xfId="3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4" borderId="0" xfId="0" applyFont="1" applyFill="1"/>
    <xf numFmtId="0" fontId="0" fillId="0" borderId="0" xfId="0" applyFont="1" applyFill="1" applyAlignment="1"/>
    <xf numFmtId="0" fontId="1" fillId="5" borderId="0" xfId="0" applyFont="1" applyFill="1" applyAlignment="1">
      <alignment horizontal="left"/>
    </xf>
    <xf numFmtId="0" fontId="0" fillId="0" borderId="0" xfId="0" applyFill="1"/>
    <xf numFmtId="0" fontId="0" fillId="3" borderId="0" xfId="0" applyFill="1"/>
    <xf numFmtId="0" fontId="1" fillId="6" borderId="0" xfId="0" applyFont="1" applyFill="1"/>
    <xf numFmtId="0" fontId="0" fillId="6" borderId="0" xfId="0" applyFill="1"/>
    <xf numFmtId="0" fontId="5" fillId="7" borderId="0" xfId="0" applyFont="1" applyFill="1"/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3" borderId="0" xfId="0" applyFont="1" applyFill="1" applyAlignment="1"/>
    <xf numFmtId="0" fontId="5" fillId="7" borderId="0" xfId="0" applyFont="1" applyFill="1" applyAlignment="1"/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9" fontId="6" fillId="0" borderId="0" xfId="0" applyNumberFormat="1" applyFont="1" applyFill="1" applyAlignment="1">
      <alignment vertical="center"/>
    </xf>
    <xf numFmtId="178" fontId="6" fillId="0" borderId="0" xfId="0" applyNumberFormat="1" applyFont="1" applyFill="1" applyAlignment="1">
      <alignment vertical="center"/>
    </xf>
    <xf numFmtId="0" fontId="7" fillId="6" borderId="0" xfId="49" applyFont="1" applyFill="1"/>
    <xf numFmtId="0" fontId="8" fillId="6" borderId="0" xfId="6" applyFont="1" applyFill="1" applyAlignment="1" applyProtection="1"/>
    <xf numFmtId="0" fontId="9" fillId="11" borderId="0" xfId="6" applyFont="1" applyFill="1" applyAlignment="1">
      <alignment vertical="center"/>
    </xf>
    <xf numFmtId="0" fontId="10" fillId="12" borderId="1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left" vertical="center"/>
    </xf>
    <xf numFmtId="0" fontId="11" fillId="6" borderId="0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 wrapText="1"/>
    </xf>
    <xf numFmtId="9" fontId="10" fillId="0" borderId="3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6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/>
    </xf>
    <xf numFmtId="2" fontId="6" fillId="0" borderId="3" xfId="0" applyNumberFormat="1" applyFont="1" applyFill="1" applyBorder="1" applyAlignment="1">
      <alignment horizontal="center" vertical="center"/>
    </xf>
    <xf numFmtId="9" fontId="6" fillId="0" borderId="3" xfId="0" applyNumberFormat="1" applyFon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6" fillId="0" borderId="4" xfId="0" applyFont="1" applyFill="1" applyBorder="1" applyAlignment="1">
      <alignment horizontal="left" vertical="center" wrapText="1"/>
    </xf>
    <xf numFmtId="1" fontId="6" fillId="0" borderId="3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6" fillId="0" borderId="6" xfId="0" applyFont="1" applyFill="1" applyBorder="1" applyAlignment="1">
      <alignment horizontal="left" vertical="center" wrapText="1"/>
    </xf>
    <xf numFmtId="179" fontId="6" fillId="0" borderId="3" xfId="0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10" fillId="15" borderId="1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left" vertical="center"/>
    </xf>
    <xf numFmtId="0" fontId="0" fillId="16" borderId="0" xfId="0" applyFill="1" applyAlignment="1">
      <alignment horizontal="center"/>
    </xf>
    <xf numFmtId="0" fontId="6" fillId="0" borderId="0" xfId="0" applyFont="1" applyFill="1" applyAlignment="1"/>
    <xf numFmtId="0" fontId="10" fillId="12" borderId="7" xfId="0" applyFont="1" applyFill="1" applyBorder="1" applyAlignment="1">
      <alignment horizontal="left" vertical="center"/>
    </xf>
    <xf numFmtId="178" fontId="10" fillId="0" borderId="3" xfId="0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0" fontId="10" fillId="15" borderId="7" xfId="0" applyFont="1" applyFill="1" applyBorder="1" applyAlignment="1">
      <alignment horizontal="left" vertical="center"/>
    </xf>
    <xf numFmtId="0" fontId="12" fillId="0" borderId="0" xfId="0" applyFont="1" applyFill="1" applyAlignment="1"/>
    <xf numFmtId="0" fontId="0" fillId="17" borderId="0" xfId="0" applyFill="1"/>
    <xf numFmtId="0" fontId="6" fillId="17" borderId="0" xfId="0" applyFont="1" applyFill="1" applyAlignment="1">
      <alignment horizontal="left" vertical="center" wrapText="1"/>
    </xf>
    <xf numFmtId="0" fontId="6" fillId="17" borderId="0" xfId="0" applyFont="1" applyFill="1" applyAlignment="1">
      <alignment horizontal="left" vertical="center"/>
    </xf>
    <xf numFmtId="0" fontId="6" fillId="17" borderId="0" xfId="0" applyFont="1" applyFill="1" applyAlignment="1">
      <alignment vertical="center"/>
    </xf>
    <xf numFmtId="1" fontId="6" fillId="17" borderId="0" xfId="0" applyNumberFormat="1" applyFont="1" applyFill="1" applyAlignment="1">
      <alignment vertical="center"/>
    </xf>
    <xf numFmtId="0" fontId="1" fillId="0" borderId="0" xfId="0" applyFont="1" applyFill="1" applyAlignment="1"/>
    <xf numFmtId="0" fontId="6" fillId="0" borderId="0" xfId="0" applyFont="1" applyFill="1" applyAlignment="1">
      <alignment wrapText="1"/>
    </xf>
    <xf numFmtId="0" fontId="13" fillId="0" borderId="0" xfId="0" applyFont="1" applyFill="1" applyAlignment="1">
      <alignment horizontal="center" wrapText="1"/>
    </xf>
    <xf numFmtId="180" fontId="13" fillId="0" borderId="0" xfId="0" applyNumberFormat="1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/>
    </xf>
    <xf numFmtId="180" fontId="14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180" fontId="15" fillId="0" borderId="0" xfId="0" applyNumberFormat="1" applyFont="1" applyFill="1" applyAlignment="1">
      <alignment horizontal="center" vertical="center" wrapText="1"/>
    </xf>
    <xf numFmtId="180" fontId="14" fillId="0" borderId="0" xfId="0" applyNumberFormat="1" applyFont="1" applyFill="1" applyAlignment="1">
      <alignment horizontal="center" vertical="center"/>
    </xf>
    <xf numFmtId="181" fontId="0" fillId="0" borderId="0" xfId="3" applyNumberFormat="1" applyFont="1" applyAlignment="1">
      <alignment horizontal="center"/>
    </xf>
    <xf numFmtId="0" fontId="1" fillId="13" borderId="0" xfId="0" applyFont="1" applyFill="1" applyAlignment="1">
      <alignment horizontal="center" vertical="center"/>
    </xf>
    <xf numFmtId="180" fontId="14" fillId="13" borderId="0" xfId="0" applyNumberFormat="1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 wrapText="1"/>
    </xf>
    <xf numFmtId="180" fontId="15" fillId="13" borderId="0" xfId="0" applyNumberFormat="1" applyFont="1" applyFill="1" applyAlignment="1">
      <alignment horizontal="center" vertical="center" wrapText="1"/>
    </xf>
    <xf numFmtId="1" fontId="15" fillId="13" borderId="0" xfId="0" applyNumberFormat="1" applyFont="1" applyFill="1" applyAlignment="1">
      <alignment horizontal="center" vertical="center" wrapText="1"/>
    </xf>
    <xf numFmtId="181" fontId="0" fillId="13" borderId="0" xfId="3" applyNumberFormat="1" applyFont="1" applyFill="1" applyAlignment="1">
      <alignment horizontal="center"/>
    </xf>
    <xf numFmtId="1" fontId="14" fillId="13" borderId="0" xfId="0" applyNumberFormat="1" applyFont="1" applyFill="1" applyAlignment="1">
      <alignment horizontal="center" vertical="center"/>
    </xf>
    <xf numFmtId="180" fontId="14" fillId="13" borderId="0" xfId="0" applyNumberFormat="1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1" fontId="0" fillId="13" borderId="0" xfId="0" applyNumberFormat="1" applyFont="1" applyFill="1" applyAlignment="1">
      <alignment horizontal="center" vertical="center" wrapText="1"/>
    </xf>
    <xf numFmtId="180" fontId="13" fillId="2" borderId="0" xfId="0" applyNumberFormat="1" applyFont="1" applyFill="1" applyAlignment="1">
      <alignment horizontal="center" vertical="center"/>
    </xf>
    <xf numFmtId="180" fontId="15" fillId="2" borderId="0" xfId="0" applyNumberFormat="1" applyFont="1" applyFill="1" applyAlignment="1">
      <alignment horizontal="center" vertical="center" wrapText="1"/>
    </xf>
    <xf numFmtId="1" fontId="0" fillId="2" borderId="0" xfId="0" applyNumberFormat="1" applyFont="1" applyFill="1" applyAlignment="1">
      <alignment horizontal="center" vertical="center" wrapText="1"/>
    </xf>
    <xf numFmtId="181" fontId="0" fillId="2" borderId="0" xfId="3" applyNumberFormat="1" applyFont="1" applyFill="1" applyAlignment="1">
      <alignment horizontal="center"/>
    </xf>
    <xf numFmtId="0" fontId="0" fillId="2" borderId="0" xfId="0" applyFont="1" applyFill="1" applyAlignment="1">
      <alignment horizontal="center" vertical="center" wrapText="1"/>
    </xf>
    <xf numFmtId="1" fontId="0" fillId="2" borderId="0" xfId="3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0" fillId="2" borderId="0" xfId="0" applyNumberFormat="1" applyFont="1" applyFill="1" applyAlignment="1">
      <alignment horizontal="center" vertical="center"/>
    </xf>
    <xf numFmtId="180" fontId="13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" fontId="13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 wrapText="1"/>
    </xf>
    <xf numFmtId="0" fontId="0" fillId="18" borderId="0" xfId="0" applyFont="1" applyFill="1" applyAlignment="1">
      <alignment horizontal="center" vertical="center" wrapText="1"/>
    </xf>
    <xf numFmtId="1" fontId="0" fillId="18" borderId="0" xfId="0" applyNumberFormat="1" applyFont="1" applyFill="1" applyAlignment="1">
      <alignment horizontal="center" vertical="center" wrapText="1"/>
    </xf>
    <xf numFmtId="180" fontId="15" fillId="18" borderId="0" xfId="0" applyNumberFormat="1" applyFont="1" applyFill="1" applyAlignment="1">
      <alignment horizontal="center" vertical="center" wrapText="1"/>
    </xf>
    <xf numFmtId="181" fontId="0" fillId="18" borderId="0" xfId="3" applyNumberFormat="1" applyFont="1" applyFill="1" applyAlignment="1">
      <alignment horizontal="center"/>
    </xf>
    <xf numFmtId="0" fontId="2" fillId="18" borderId="0" xfId="0" applyFont="1" applyFill="1" applyAlignment="1">
      <alignment horizontal="center" vertical="center"/>
    </xf>
    <xf numFmtId="1" fontId="0" fillId="18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 wrapText="1"/>
    </xf>
    <xf numFmtId="0" fontId="0" fillId="19" borderId="0" xfId="0" applyFont="1" applyFill="1" applyAlignment="1">
      <alignment horizontal="center" vertical="center" wrapText="1"/>
    </xf>
    <xf numFmtId="1" fontId="0" fillId="19" borderId="0" xfId="3" applyNumberFormat="1" applyFont="1" applyFill="1" applyAlignment="1">
      <alignment horizontal="center" vertical="center" wrapText="1"/>
    </xf>
    <xf numFmtId="1" fontId="0" fillId="19" borderId="0" xfId="0" applyNumberFormat="1" applyFont="1" applyFill="1" applyAlignment="1">
      <alignment horizontal="center" vertical="center" wrapText="1"/>
    </xf>
    <xf numFmtId="180" fontId="15" fillId="19" borderId="0" xfId="0" applyNumberFormat="1" applyFont="1" applyFill="1" applyAlignment="1">
      <alignment horizontal="center" vertical="center" wrapText="1"/>
    </xf>
    <xf numFmtId="181" fontId="0" fillId="19" borderId="0" xfId="3" applyNumberFormat="1" applyFont="1" applyFill="1" applyAlignment="1">
      <alignment horizontal="center"/>
    </xf>
    <xf numFmtId="0" fontId="10" fillId="19" borderId="0" xfId="0" applyFont="1" applyFill="1" applyAlignment="1">
      <alignment horizontal="center" vertical="center" wrapText="1"/>
    </xf>
    <xf numFmtId="1" fontId="3" fillId="19" borderId="0" xfId="0" applyNumberFormat="1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 wrapText="1"/>
    </xf>
    <xf numFmtId="9" fontId="16" fillId="0" borderId="0" xfId="0" applyNumberFormat="1" applyFont="1" applyFill="1" applyAlignment="1">
      <alignment vertical="center"/>
    </xf>
    <xf numFmtId="0" fontId="1" fillId="20" borderId="0" xfId="0" applyFont="1" applyFill="1" applyAlignment="1"/>
    <xf numFmtId="0" fontId="0" fillId="20" borderId="0" xfId="0" applyFill="1"/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 wrapText="1"/>
    </xf>
    <xf numFmtId="37" fontId="3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right" vertical="top"/>
    </xf>
    <xf numFmtId="0" fontId="17" fillId="6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8" fillId="0" borderId="0" xfId="0" applyFont="1" applyFill="1" applyAlignment="1">
      <alignment horizontal="left" vertical="top"/>
    </xf>
    <xf numFmtId="182" fontId="18" fillId="0" borderId="0" xfId="0" applyNumberFormat="1" applyFont="1" applyFill="1" applyAlignment="1">
      <alignment vertical="center"/>
    </xf>
    <xf numFmtId="0" fontId="13" fillId="0" borderId="0" xfId="0" applyFont="1" applyFill="1" applyAlignment="1">
      <alignment horizontal="right" wrapText="1"/>
    </xf>
    <xf numFmtId="1" fontId="15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>
      <alignment horizontal="left" wrapText="1"/>
    </xf>
    <xf numFmtId="1" fontId="0" fillId="0" borderId="0" xfId="0" applyNumberFormat="1" applyFont="1" applyFill="1" applyAlignment="1"/>
    <xf numFmtId="1" fontId="15" fillId="13" borderId="0" xfId="3" applyNumberFormat="1" applyFont="1" applyFill="1" applyAlignment="1">
      <alignment horizontal="center" vertical="center" wrapText="1"/>
    </xf>
    <xf numFmtId="178" fontId="0" fillId="0" borderId="0" xfId="0" applyNumberFormat="1" applyFont="1" applyFill="1" applyAlignment="1"/>
    <xf numFmtId="0" fontId="0" fillId="0" borderId="0" xfId="0" applyFont="1" applyFill="1" applyAlignment="1">
      <alignment horizontal="left"/>
    </xf>
    <xf numFmtId="179" fontId="0" fillId="0" borderId="0" xfId="0" applyNumberFormat="1" applyFont="1" applyFill="1" applyAlignment="1"/>
    <xf numFmtId="183" fontId="0" fillId="2" borderId="0" xfId="3" applyNumberFormat="1" applyFont="1" applyFill="1" applyAlignment="1">
      <alignment horizontal="center"/>
    </xf>
    <xf numFmtId="1" fontId="0" fillId="18" borderId="0" xfId="3" applyNumberFormat="1" applyFont="1" applyFill="1" applyAlignment="1">
      <alignment horizontal="center" vertical="center" wrapText="1"/>
    </xf>
    <xf numFmtId="1" fontId="0" fillId="13" borderId="0" xfId="3" applyNumberFormat="1" applyFont="1" applyFill="1" applyAlignment="1">
      <alignment horizontal="center" vertical="center" wrapText="1"/>
    </xf>
    <xf numFmtId="1" fontId="0" fillId="0" borderId="0" xfId="3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10" fontId="0" fillId="0" borderId="0" xfId="0" applyNumberFormat="1" applyFont="1" applyFill="1" applyAlignment="1"/>
    <xf numFmtId="178" fontId="0" fillId="0" borderId="0" xfId="3" applyNumberFormat="1" applyFont="1" applyAlignment="1"/>
    <xf numFmtId="0" fontId="3" fillId="13" borderId="0" xfId="0" applyFont="1" applyFill="1" applyAlignment="1">
      <alignment horizontal="center"/>
    </xf>
    <xf numFmtId="0" fontId="0" fillId="13" borderId="0" xfId="0" applyFill="1"/>
    <xf numFmtId="0" fontId="0" fillId="21" borderId="0" xfId="0" applyFill="1"/>
    <xf numFmtId="0" fontId="3" fillId="21" borderId="0" xfId="0" applyFont="1" applyFill="1" applyAlignment="1">
      <alignment horizontal="center"/>
    </xf>
    <xf numFmtId="1" fontId="0" fillId="17" borderId="0" xfId="0" applyNumberFormat="1" applyFill="1"/>
    <xf numFmtId="0" fontId="0" fillId="0" borderId="3" xfId="0" applyFill="1" applyBorder="1"/>
    <xf numFmtId="0" fontId="12" fillId="0" borderId="3" xfId="0" applyFont="1" applyFill="1" applyBorder="1" applyAlignment="1">
      <alignment vertical="center"/>
    </xf>
    <xf numFmtId="184" fontId="12" fillId="0" borderId="3" xfId="0" applyNumberFormat="1" applyFont="1" applyFill="1" applyBorder="1" applyAlignment="1">
      <alignment horizontal="right" vertical="center" indent="1"/>
    </xf>
    <xf numFmtId="0" fontId="19" fillId="0" borderId="0" xfId="0" applyFont="1" applyFill="1" applyAlignment="1">
      <alignment horizontal="left" vertical="center"/>
    </xf>
    <xf numFmtId="185" fontId="19" fillId="0" borderId="0" xfId="0" applyNumberFormat="1" applyFont="1" applyFill="1" applyAlignment="1">
      <alignment horizontal="right" vertical="center" indent="1"/>
    </xf>
    <xf numFmtId="0" fontId="12" fillId="0" borderId="0" xfId="0" applyFont="1" applyFill="1" applyAlignment="1">
      <alignment vertical="center"/>
    </xf>
    <xf numFmtId="184" fontId="12" fillId="0" borderId="0" xfId="0" applyNumberFormat="1" applyFont="1" applyFill="1" applyAlignment="1">
      <alignment horizontal="right" vertical="center" indent="1"/>
    </xf>
    <xf numFmtId="0" fontId="20" fillId="0" borderId="8" xfId="0" applyFont="1" applyFill="1" applyBorder="1" applyAlignment="1">
      <alignment vertical="center"/>
    </xf>
    <xf numFmtId="184" fontId="20" fillId="0" borderId="8" xfId="0" applyNumberFormat="1" applyFont="1" applyFill="1" applyBorder="1" applyAlignment="1">
      <alignment horizontal="right" vertical="center" indent="1"/>
    </xf>
    <xf numFmtId="0" fontId="21" fillId="22" borderId="0" xfId="0" applyFont="1" applyFill="1" applyAlignment="1">
      <alignment horizontal="center" vertical="center"/>
    </xf>
    <xf numFmtId="0" fontId="21" fillId="22" borderId="0" xfId="0" applyFont="1" applyFill="1" applyAlignment="1">
      <alignment horizontal="right" vertical="center" indent="1"/>
    </xf>
    <xf numFmtId="0" fontId="22" fillId="23" borderId="0" xfId="0" applyFont="1" applyFill="1" applyAlignment="1">
      <alignment horizontal="left" vertical="center"/>
    </xf>
    <xf numFmtId="185" fontId="22" fillId="23" borderId="0" xfId="0" applyNumberFormat="1" applyFont="1" applyFill="1" applyAlignment="1">
      <alignment horizontal="right" vertical="center" indent="1"/>
    </xf>
    <xf numFmtId="0" fontId="23" fillId="24" borderId="0" xfId="0" applyFont="1" applyFill="1" applyAlignment="1">
      <alignment vertical="center"/>
    </xf>
    <xf numFmtId="184" fontId="23" fillId="24" borderId="0" xfId="0" applyNumberFormat="1" applyFont="1" applyFill="1" applyAlignment="1">
      <alignment horizontal="right" vertical="center" indent="1"/>
    </xf>
    <xf numFmtId="0" fontId="23" fillId="24" borderId="8" xfId="0" applyFont="1" applyFill="1" applyBorder="1" applyAlignment="1">
      <alignment vertical="center"/>
    </xf>
    <xf numFmtId="184" fontId="23" fillId="24" borderId="8" xfId="0" applyNumberFormat="1" applyFont="1" applyFill="1" applyBorder="1" applyAlignment="1">
      <alignment horizontal="right" vertical="center" indent="1"/>
    </xf>
    <xf numFmtId="0" fontId="0" fillId="7" borderId="0" xfId="0" applyFill="1"/>
    <xf numFmtId="0" fontId="0" fillId="0" borderId="3" xfId="0" applyBorder="1"/>
    <xf numFmtId="0" fontId="0" fillId="0" borderId="0" xfId="0" applyBorder="1"/>
    <xf numFmtId="0" fontId="0" fillId="25" borderId="0" xfId="0" applyFill="1"/>
    <xf numFmtId="0" fontId="0" fillId="0" borderId="0" xfId="0" applyFill="1" applyBorder="1"/>
    <xf numFmtId="0" fontId="0" fillId="0" borderId="0" xfId="0" applyAlignment="1">
      <alignment horizontal="center"/>
    </xf>
    <xf numFmtId="186" fontId="24" fillId="0" borderId="0" xfId="0" applyNumberFormat="1" applyFont="1" applyFill="1" applyBorder="1" applyAlignment="1">
      <alignment horizontal="center" vertical="center"/>
    </xf>
    <xf numFmtId="1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/>
    <xf numFmtId="0" fontId="4" fillId="0" borderId="0" xfId="0" applyFont="1"/>
    <xf numFmtId="0" fontId="24" fillId="0" borderId="3" xfId="0" applyFont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184" fontId="24" fillId="0" borderId="3" xfId="0" applyNumberFormat="1" applyFont="1" applyFill="1" applyBorder="1" applyAlignment="1">
      <alignment horizontal="center" vertical="center"/>
    </xf>
    <xf numFmtId="184" fontId="24" fillId="14" borderId="3" xfId="0" applyNumberFormat="1" applyFont="1" applyFill="1" applyBorder="1" applyAlignment="1">
      <alignment horizontal="center" vertical="center"/>
    </xf>
    <xf numFmtId="1" fontId="24" fillId="0" borderId="3" xfId="0" applyNumberFormat="1" applyFont="1" applyFill="1" applyBorder="1" applyAlignment="1">
      <alignment horizontal="center" vertical="center" wrapText="1"/>
    </xf>
    <xf numFmtId="1" fontId="24" fillId="0" borderId="3" xfId="0" applyNumberFormat="1" applyFont="1" applyFill="1" applyBorder="1" applyAlignment="1">
      <alignment horizontal="center" vertical="center"/>
    </xf>
    <xf numFmtId="9" fontId="24" fillId="0" borderId="3" xfId="3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/>
    </xf>
    <xf numFmtId="37" fontId="24" fillId="0" borderId="3" xfId="0" applyNumberFormat="1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7" fillId="0" borderId="0" xfId="0" applyFont="1"/>
    <xf numFmtId="0" fontId="0" fillId="0" borderId="0" xfId="0" applyFill="1" applyAlignment="1">
      <alignment horizontal="center"/>
    </xf>
    <xf numFmtId="0" fontId="28" fillId="0" borderId="0" xfId="0" applyFont="1" applyFill="1" applyAlignment="1">
      <alignment horizontal="center"/>
    </xf>
    <xf numFmtId="0" fontId="28" fillId="0" borderId="0" xfId="0" applyFont="1" applyFill="1"/>
    <xf numFmtId="187" fontId="24" fillId="0" borderId="3" xfId="0" applyNumberFormat="1" applyFont="1" applyBorder="1" applyAlignment="1">
      <alignment horizontal="center" vertical="center"/>
    </xf>
    <xf numFmtId="187" fontId="24" fillId="0" borderId="3" xfId="0" applyNumberFormat="1" applyFont="1" applyFill="1" applyBorder="1" applyAlignment="1">
      <alignment horizontal="center" vertical="center"/>
    </xf>
    <xf numFmtId="187" fontId="24" fillId="14" borderId="3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3" fontId="24" fillId="0" borderId="3" xfId="0" applyNumberFormat="1" applyFont="1" applyFill="1" applyBorder="1" applyAlignment="1">
      <alignment horizontal="center" vertical="center"/>
    </xf>
    <xf numFmtId="3" fontId="24" fillId="14" borderId="3" xfId="0" applyNumberFormat="1" applyFont="1" applyFill="1" applyBorder="1" applyAlignment="1">
      <alignment horizontal="center" vertical="center"/>
    </xf>
    <xf numFmtId="0" fontId="24" fillId="7" borderId="0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0" fillId="14" borderId="3" xfId="0" applyFill="1" applyBorder="1"/>
    <xf numFmtId="0" fontId="28" fillId="14" borderId="0" xfId="0" applyFont="1" applyFill="1" applyBorder="1"/>
    <xf numFmtId="0" fontId="28" fillId="0" borderId="0" xfId="0" applyFont="1" applyFill="1" applyBorder="1"/>
    <xf numFmtId="0" fontId="29" fillId="26" borderId="9" xfId="51" applyFont="1" applyFill="1" applyBorder="1" applyAlignment="1">
      <alignment horizontal="centerContinuous" vertical="center"/>
    </xf>
    <xf numFmtId="0" fontId="29" fillId="26" borderId="9" xfId="51" applyFont="1" applyFill="1" applyBorder="1" applyAlignment="1">
      <alignment vertical="center"/>
    </xf>
    <xf numFmtId="188" fontId="29" fillId="26" borderId="10" xfId="51" applyNumberFormat="1" applyFont="1" applyFill="1" applyBorder="1" applyAlignment="1">
      <alignment horizontal="right" vertical="center"/>
    </xf>
    <xf numFmtId="188" fontId="29" fillId="26" borderId="8" xfId="51" applyNumberFormat="1" applyFont="1" applyFill="1" applyBorder="1" applyAlignment="1">
      <alignment horizontal="right" vertical="center"/>
    </xf>
    <xf numFmtId="189" fontId="30" fillId="27" borderId="0" xfId="51" applyNumberFormat="1" applyFont="1" applyFill="1" applyAlignment="1">
      <alignment horizontal="right" vertical="center"/>
    </xf>
    <xf numFmtId="0" fontId="0" fillId="10" borderId="0" xfId="0" applyFill="1"/>
    <xf numFmtId="0" fontId="29" fillId="10" borderId="9" xfId="51" applyFont="1" applyFill="1" applyBorder="1" applyAlignment="1">
      <alignment horizontal="centerContinuous" vertical="center"/>
    </xf>
    <xf numFmtId="0" fontId="29" fillId="10" borderId="9" xfId="51" applyFont="1" applyFill="1" applyBorder="1" applyAlignment="1">
      <alignment vertical="center"/>
    </xf>
    <xf numFmtId="188" fontId="29" fillId="10" borderId="10" xfId="51" applyNumberFormat="1" applyFont="1" applyFill="1" applyBorder="1" applyAlignment="1">
      <alignment horizontal="right" vertical="center"/>
    </xf>
    <xf numFmtId="188" fontId="29" fillId="10" borderId="8" xfId="51" applyNumberFormat="1" applyFont="1" applyFill="1" applyBorder="1" applyAlignment="1">
      <alignment horizontal="right" vertical="center"/>
    </xf>
    <xf numFmtId="189" fontId="30" fillId="10" borderId="0" xfId="51" applyNumberFormat="1" applyFont="1" applyFill="1" applyAlignment="1">
      <alignment horizontal="right" vertical="center"/>
    </xf>
    <xf numFmtId="0" fontId="29" fillId="25" borderId="0" xfId="50" applyFont="1" applyFill="1" applyAlignment="1">
      <alignment horizontal="centerContinuous" vertical="center"/>
    </xf>
    <xf numFmtId="1" fontId="29" fillId="25" borderId="0" xfId="50" applyNumberFormat="1" applyFont="1" applyFill="1" applyAlignment="1">
      <alignment horizontal="centerContinuous" vertical="center"/>
    </xf>
    <xf numFmtId="1" fontId="29" fillId="25" borderId="0" xfId="50" applyNumberFormat="1" applyFont="1" applyFill="1" applyAlignment="1">
      <alignment horizontal="center" vertical="center"/>
    </xf>
    <xf numFmtId="1" fontId="29" fillId="25" borderId="11" xfId="50" applyNumberFormat="1" applyFont="1" applyFill="1" applyBorder="1" applyAlignment="1">
      <alignment horizontal="center" vertical="center"/>
    </xf>
    <xf numFmtId="189" fontId="30" fillId="25" borderId="0" xfId="50" applyNumberFormat="1" applyFont="1" applyFill="1" applyAlignment="1">
      <alignment horizontal="right" vertical="center"/>
    </xf>
    <xf numFmtId="0" fontId="29" fillId="26" borderId="12" xfId="51" applyFont="1" applyFill="1" applyBorder="1" applyAlignment="1">
      <alignment horizontal="left" vertical="center"/>
    </xf>
    <xf numFmtId="0" fontId="29" fillId="26" borderId="13" xfId="51" applyFont="1" applyFill="1" applyBorder="1" applyAlignment="1">
      <alignment vertical="center"/>
    </xf>
    <xf numFmtId="0" fontId="30" fillId="27" borderId="0" xfId="51" applyFont="1" applyFill="1" applyAlignment="1">
      <alignment horizontal="left" vertical="center" wrapText="1" indent="1"/>
    </xf>
    <xf numFmtId="189" fontId="30" fillId="27" borderId="14" xfId="51" applyNumberFormat="1" applyFont="1" applyFill="1" applyBorder="1" applyAlignment="1">
      <alignment horizontal="right" vertical="center"/>
    </xf>
    <xf numFmtId="189" fontId="30" fillId="10" borderId="14" xfId="51" applyNumberFormat="1" applyFont="1" applyFill="1" applyBorder="1" applyAlignment="1">
      <alignment horizontal="right" vertical="center"/>
    </xf>
    <xf numFmtId="0" fontId="5" fillId="0" borderId="0" xfId="0" applyFont="1"/>
    <xf numFmtId="189" fontId="0" fillId="0" borderId="0" xfId="0" applyNumberFormat="1"/>
    <xf numFmtId="186" fontId="24" fillId="0" borderId="15" xfId="0" applyNumberFormat="1" applyFont="1" applyFill="1" applyBorder="1" applyAlignment="1">
      <alignment horizontal="center" vertical="center"/>
    </xf>
    <xf numFmtId="186" fontId="0" fillId="0" borderId="0" xfId="0" applyNumberFormat="1" applyBorder="1"/>
    <xf numFmtId="186" fontId="0" fillId="6" borderId="0" xfId="0" applyNumberFormat="1" applyFill="1" applyAlignment="1">
      <alignment horizontal="center"/>
    </xf>
    <xf numFmtId="186" fontId="0" fillId="0" borderId="0" xfId="0" applyNumberFormat="1" applyFill="1" applyAlignment="1">
      <alignment horizontal="center"/>
    </xf>
    <xf numFmtId="186" fontId="12" fillId="7" borderId="3" xfId="0" applyNumberFormat="1" applyFont="1" applyFill="1" applyBorder="1" applyAlignment="1">
      <alignment horizontal="right" vertical="center" indent="1"/>
    </xf>
    <xf numFmtId="186" fontId="12" fillId="0" borderId="0" xfId="0" applyNumberFormat="1" applyFont="1" applyFill="1" applyBorder="1" applyAlignment="1">
      <alignment horizontal="right" vertical="center" inden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7" borderId="0" xfId="0" applyNumberFormat="1" applyFill="1"/>
    <xf numFmtId="0" fontId="0" fillId="0" borderId="4" xfId="0" applyBorder="1"/>
    <xf numFmtId="187" fontId="0" fillId="14" borderId="4" xfId="0" applyNumberFormat="1" applyFill="1" applyBorder="1"/>
    <xf numFmtId="187" fontId="0" fillId="14" borderId="3" xfId="0" applyNumberFormat="1" applyFill="1" applyBorder="1"/>
    <xf numFmtId="0" fontId="24" fillId="0" borderId="0" xfId="0" applyFont="1" applyBorder="1" applyAlignment="1">
      <alignment horizontal="center" vertical="center"/>
    </xf>
    <xf numFmtId="187" fontId="24" fillId="0" borderId="0" xfId="0" applyNumberFormat="1" applyFont="1" applyBorder="1" applyAlignment="1">
      <alignment horizontal="center" vertical="center"/>
    </xf>
    <xf numFmtId="187" fontId="24" fillId="0" borderId="0" xfId="0" applyNumberFormat="1" applyFont="1" applyFill="1" applyBorder="1" applyAlignment="1">
      <alignment horizontal="center" vertical="center"/>
    </xf>
    <xf numFmtId="187" fontId="24" fillId="14" borderId="0" xfId="0" applyNumberFormat="1" applyFont="1" applyFill="1" applyBorder="1" applyAlignment="1">
      <alignment horizontal="center" vertical="center"/>
    </xf>
    <xf numFmtId="0" fontId="24" fillId="25" borderId="3" xfId="0" applyFont="1" applyFill="1" applyBorder="1" applyAlignment="1">
      <alignment horizontal="center" vertical="center"/>
    </xf>
    <xf numFmtId="187" fontId="24" fillId="28" borderId="3" xfId="0" applyNumberFormat="1" applyFont="1" applyFill="1" applyBorder="1" applyAlignment="1">
      <alignment horizontal="center" vertical="center"/>
    </xf>
    <xf numFmtId="0" fontId="28" fillId="25" borderId="0" xfId="0" applyFont="1" applyFill="1"/>
    <xf numFmtId="0" fontId="0" fillId="0" borderId="0" xfId="0" applyBorder="1" applyAlignment="1">
      <alignment horizontal="center"/>
    </xf>
    <xf numFmtId="0" fontId="0" fillId="14" borderId="0" xfId="0" applyFill="1" applyBorder="1"/>
    <xf numFmtId="0" fontId="1" fillId="14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89" fontId="0" fillId="6" borderId="0" xfId="0" applyNumberFormat="1" applyFill="1" applyAlignment="1">
      <alignment horizontal="center"/>
    </xf>
    <xf numFmtId="189" fontId="1" fillId="6" borderId="3" xfId="0" applyNumberFormat="1" applyFont="1" applyFill="1" applyBorder="1" applyAlignment="1">
      <alignment horizontal="center"/>
    </xf>
    <xf numFmtId="0" fontId="31" fillId="0" borderId="3" xfId="0" applyFont="1" applyFill="1" applyBorder="1" applyAlignment="1">
      <alignment horizontal="center" vertical="center"/>
    </xf>
    <xf numFmtId="189" fontId="0" fillId="0" borderId="0" xfId="0" applyNumberFormat="1" applyFill="1" applyAlignment="1">
      <alignment horizontal="center"/>
    </xf>
    <xf numFmtId="189" fontId="1" fillId="0" borderId="3" xfId="0" applyNumberFormat="1" applyFont="1" applyFill="1" applyBorder="1" applyAlignment="1">
      <alignment horizontal="center"/>
    </xf>
    <xf numFmtId="189" fontId="24" fillId="0" borderId="3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184" fontId="12" fillId="0" borderId="0" xfId="0" applyNumberFormat="1" applyFont="1" applyFill="1" applyBorder="1" applyAlignment="1">
      <alignment horizontal="right" vertical="center" indent="1"/>
    </xf>
    <xf numFmtId="0" fontId="20" fillId="0" borderId="0" xfId="0" applyFont="1" applyFill="1" applyBorder="1" applyAlignment="1">
      <alignment vertical="center"/>
    </xf>
    <xf numFmtId="184" fontId="20" fillId="0" borderId="0" xfId="0" applyNumberFormat="1" applyFont="1" applyFill="1" applyBorder="1" applyAlignment="1">
      <alignment horizontal="right" vertical="center" indent="1"/>
    </xf>
    <xf numFmtId="0" fontId="0" fillId="0" borderId="0" xfId="0" applyFill="1" applyBorder="1" applyAlignment="1">
      <alignment horizontal="center"/>
    </xf>
    <xf numFmtId="189" fontId="0" fillId="7" borderId="3" xfId="0" applyNumberFormat="1" applyFill="1" applyBorder="1" applyAlignment="1">
      <alignment horizontal="center"/>
    </xf>
    <xf numFmtId="187" fontId="0" fillId="7" borderId="3" xfId="0" applyNumberFormat="1" applyFill="1" applyBorder="1"/>
    <xf numFmtId="190" fontId="0" fillId="7" borderId="3" xfId="0" applyNumberFormat="1" applyFill="1" applyBorder="1" applyAlignment="1">
      <alignment horizontal="center"/>
    </xf>
    <xf numFmtId="189" fontId="0" fillId="0" borderId="3" xfId="0" applyNumberFormat="1" applyBorder="1" applyAlignment="1">
      <alignment horizontal="center"/>
    </xf>
    <xf numFmtId="191" fontId="0" fillId="0" borderId="3" xfId="0" applyNumberFormat="1" applyBorder="1" applyAlignment="1">
      <alignment horizontal="center"/>
    </xf>
    <xf numFmtId="0" fontId="0" fillId="0" borderId="4" xfId="0" applyFill="1" applyBorder="1"/>
    <xf numFmtId="0" fontId="0" fillId="14" borderId="4" xfId="0" applyFill="1" applyBorder="1"/>
    <xf numFmtId="0" fontId="28" fillId="0" borderId="3" xfId="0" applyFont="1" applyFill="1" applyBorder="1"/>
    <xf numFmtId="0" fontId="0" fillId="25" borderId="3" xfId="0" applyFill="1" applyBorder="1"/>
    <xf numFmtId="0" fontId="28" fillId="25" borderId="0" xfId="0" applyFont="1" applyFill="1" applyBorder="1"/>
    <xf numFmtId="184" fontId="32" fillId="0" borderId="0" xfId="0" applyNumberFormat="1" applyFont="1" applyFill="1" applyBorder="1" applyAlignment="1">
      <alignment horizontal="right" vertical="center" indent="1"/>
    </xf>
    <xf numFmtId="189" fontId="1" fillId="4" borderId="3" xfId="0" applyNumberFormat="1" applyFont="1" applyFill="1" applyBorder="1" applyAlignment="1">
      <alignment horizontal="center"/>
    </xf>
    <xf numFmtId="0" fontId="0" fillId="16" borderId="0" xfId="0" applyFill="1"/>
    <xf numFmtId="0" fontId="33" fillId="16" borderId="0" xfId="0" applyFont="1" applyFill="1" applyAlignment="1">
      <alignment horizontal="center"/>
    </xf>
    <xf numFmtId="0" fontId="1" fillId="16" borderId="3" xfId="0" applyFont="1" applyFill="1" applyBorder="1" applyAlignment="1">
      <alignment horizontal="center"/>
    </xf>
    <xf numFmtId="189" fontId="0" fillId="16" borderId="0" xfId="0" applyNumberFormat="1" applyFill="1"/>
    <xf numFmtId="187" fontId="0" fillId="16" borderId="0" xfId="0" applyNumberFormat="1" applyFill="1"/>
    <xf numFmtId="0" fontId="31" fillId="16" borderId="3" xfId="0" applyFont="1" applyFill="1" applyBorder="1" applyAlignment="1">
      <alignment horizontal="center" vertical="center"/>
    </xf>
    <xf numFmtId="189" fontId="0" fillId="29" borderId="0" xfId="0" applyNumberFormat="1" applyFill="1"/>
    <xf numFmtId="187" fontId="0" fillId="29" borderId="0" xfId="0" applyNumberFormat="1" applyFill="1"/>
    <xf numFmtId="189" fontId="0" fillId="0" borderId="3" xfId="0" applyNumberFormat="1" applyBorder="1"/>
    <xf numFmtId="0" fontId="0" fillId="0" borderId="1" xfId="0" applyBorder="1"/>
    <xf numFmtId="0" fontId="0" fillId="0" borderId="7" xfId="0" applyBorder="1"/>
    <xf numFmtId="1" fontId="0" fillId="0" borderId="3" xfId="0" applyNumberFormat="1" applyBorder="1"/>
    <xf numFmtId="0" fontId="24" fillId="0" borderId="3" xfId="0" applyFont="1" applyFill="1" applyBorder="1"/>
    <xf numFmtId="1" fontId="0" fillId="0" borderId="0" xfId="0" applyNumberFormat="1" applyBorder="1"/>
    <xf numFmtId="0" fontId="24" fillId="0" borderId="0" xfId="0" applyFont="1" applyFill="1" applyBorder="1"/>
    <xf numFmtId="1" fontId="0" fillId="25" borderId="0" xfId="0" applyNumberFormat="1" applyFill="1"/>
    <xf numFmtId="1" fontId="0" fillId="0" borderId="0" xfId="0" applyNumberFormat="1" applyFill="1" applyBorder="1"/>
    <xf numFmtId="187" fontId="28" fillId="0" borderId="0" xfId="0" applyNumberFormat="1" applyFont="1" applyFill="1"/>
    <xf numFmtId="187" fontId="0" fillId="0" borderId="3" xfId="0" applyNumberFormat="1" applyFill="1" applyBorder="1"/>
    <xf numFmtId="0" fontId="34" fillId="0" borderId="16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0" fillId="0" borderId="17" xfId="0" applyBorder="1"/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0" borderId="18" xfId="0" applyFont="1" applyBorder="1" applyAlignment="1">
      <alignment horizontal="left" vertical="center"/>
    </xf>
    <xf numFmtId="0" fontId="35" fillId="0" borderId="18" xfId="0" applyFont="1" applyBorder="1" applyAlignment="1">
      <alignment horizontal="right" vertical="center"/>
    </xf>
    <xf numFmtId="0" fontId="35" fillId="0" borderId="19" xfId="0" applyFont="1" applyBorder="1" applyAlignment="1">
      <alignment horizontal="right" vertical="center"/>
    </xf>
    <xf numFmtId="0" fontId="34" fillId="0" borderId="16" xfId="0" applyFont="1" applyBorder="1" applyAlignment="1">
      <alignment horizont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0" xfId="0" applyFont="1" applyAlignment="1">
      <alignment horizontal="center" wrapText="1"/>
    </xf>
    <xf numFmtId="0" fontId="34" fillId="0" borderId="17" xfId="0" applyFont="1" applyBorder="1" applyAlignment="1">
      <alignment horizontal="center" wrapText="1"/>
    </xf>
    <xf numFmtId="0" fontId="34" fillId="0" borderId="17" xfId="0" applyFont="1" applyBorder="1" applyAlignment="1">
      <alignment horizontal="right" vertical="center" indent="1"/>
    </xf>
    <xf numFmtId="0" fontId="34" fillId="0" borderId="20" xfId="0" applyFont="1" applyBorder="1" applyAlignment="1">
      <alignment horizontal="right" vertical="center" indent="1"/>
    </xf>
    <xf numFmtId="0" fontId="34" fillId="0" borderId="17" xfId="0" applyFont="1" applyBorder="1" applyAlignment="1">
      <alignment horizontal="center" vertical="center" wrapText="1" indent="1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right" vertical="top" wrapText="1"/>
    </xf>
    <xf numFmtId="0" fontId="35" fillId="0" borderId="0" xfId="0" applyFont="1" applyAlignment="1">
      <alignment horizontal="right" vertical="center" indent="1"/>
    </xf>
    <xf numFmtId="187" fontId="35" fillId="0" borderId="0" xfId="0" applyNumberFormat="1" applyFont="1" applyAlignment="1">
      <alignment horizontal="right" vertical="center" indent="1"/>
    </xf>
    <xf numFmtId="187" fontId="35" fillId="0" borderId="0" xfId="0" applyNumberFormat="1" applyFont="1" applyAlignment="1">
      <alignment horizontal="center" vertical="center" wrapText="1" indent="1"/>
    </xf>
    <xf numFmtId="0" fontId="35" fillId="0" borderId="18" xfId="0" applyFont="1" applyBorder="1" applyAlignment="1">
      <alignment horizontal="right" vertical="center" indent="1"/>
    </xf>
    <xf numFmtId="187" fontId="35" fillId="0" borderId="18" xfId="0" applyNumberFormat="1" applyFont="1" applyBorder="1" applyAlignment="1">
      <alignment horizontal="right" vertical="center" indent="1"/>
    </xf>
    <xf numFmtId="187" fontId="35" fillId="0" borderId="18" xfId="0" applyNumberFormat="1" applyFont="1" applyBorder="1" applyAlignment="1">
      <alignment horizontal="center" vertical="center" wrapText="1" indent="1"/>
    </xf>
    <xf numFmtId="187" fontId="34" fillId="0" borderId="0" xfId="0" applyNumberFormat="1" applyFont="1" applyAlignment="1">
      <alignment horizontal="right"/>
    </xf>
    <xf numFmtId="187" fontId="34" fillId="0" borderId="0" xfId="0" applyNumberFormat="1" applyFont="1" applyAlignment="1">
      <alignment horizontal="center" wrapText="1"/>
    </xf>
    <xf numFmtId="0" fontId="35" fillId="0" borderId="19" xfId="0" applyFont="1" applyBorder="1" applyAlignment="1">
      <alignment horizontal="right" vertical="center" indent="1"/>
    </xf>
    <xf numFmtId="187" fontId="35" fillId="0" borderId="19" xfId="0" applyNumberFormat="1" applyFont="1" applyBorder="1" applyAlignment="1">
      <alignment horizontal="right" vertical="center" indent="1"/>
    </xf>
    <xf numFmtId="187" fontId="35" fillId="0" borderId="19" xfId="0" applyNumberFormat="1" applyFont="1" applyBorder="1" applyAlignment="1">
      <alignment horizontal="center" vertical="center" wrapText="1" indent="1"/>
    </xf>
    <xf numFmtId="0" fontId="34" fillId="0" borderId="16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right" vertical="center" wrapText="1" indent="1"/>
    </xf>
    <xf numFmtId="0" fontId="35" fillId="0" borderId="0" xfId="0" applyFont="1" applyAlignment="1">
      <alignment horizontal="center" vertical="center" wrapText="1" indent="1"/>
    </xf>
    <xf numFmtId="0" fontId="35" fillId="0" borderId="18" xfId="0" applyFont="1" applyBorder="1" applyAlignment="1">
      <alignment horizontal="center" vertical="center" wrapText="1" indent="1"/>
    </xf>
    <xf numFmtId="0" fontId="35" fillId="0" borderId="19" xfId="0" applyFont="1" applyBorder="1" applyAlignment="1">
      <alignment horizontal="center" vertical="center" wrapText="1" indent="1"/>
    </xf>
    <xf numFmtId="184" fontId="0" fillId="14" borderId="4" xfId="0" applyNumberFormat="1" applyFill="1" applyBorder="1"/>
    <xf numFmtId="184" fontId="0" fillId="14" borderId="3" xfId="0" applyNumberFormat="1" applyFill="1" applyBorder="1"/>
    <xf numFmtId="0" fontId="24" fillId="14" borderId="0" xfId="0" applyFont="1" applyFill="1" applyBorder="1" applyAlignment="1">
      <alignment horizontal="center" vertical="center"/>
    </xf>
    <xf numFmtId="187" fontId="28" fillId="0" borderId="0" xfId="0" applyNumberFormat="1" applyFont="1" applyFill="1" applyBorder="1"/>
    <xf numFmtId="187" fontId="24" fillId="25" borderId="3" xfId="0" applyNumberFormat="1" applyFont="1" applyFill="1" applyBorder="1" applyAlignment="1">
      <alignment horizontal="center" vertical="center"/>
    </xf>
    <xf numFmtId="0" fontId="24" fillId="28" borderId="3" xfId="0" applyFont="1" applyFill="1" applyBorder="1" applyAlignment="1">
      <alignment horizontal="center" vertical="center"/>
    </xf>
    <xf numFmtId="187" fontId="28" fillId="25" borderId="0" xfId="0" applyNumberFormat="1" applyFont="1" applyFill="1"/>
    <xf numFmtId="186" fontId="1" fillId="14" borderId="3" xfId="0" applyNumberFormat="1" applyFont="1" applyFill="1" applyBorder="1" applyAlignment="1">
      <alignment horizontal="center"/>
    </xf>
    <xf numFmtId="186" fontId="1" fillId="0" borderId="3" xfId="0" applyNumberFormat="1" applyFont="1" applyFill="1" applyBorder="1" applyAlignment="1">
      <alignment horizontal="center"/>
    </xf>
    <xf numFmtId="186" fontId="0" fillId="14" borderId="0" xfId="0" applyNumberFormat="1" applyFill="1"/>
    <xf numFmtId="186" fontId="1" fillId="6" borderId="3" xfId="0" applyNumberFormat="1" applyFont="1" applyFill="1" applyBorder="1" applyAlignment="1">
      <alignment horizontal="center"/>
    </xf>
    <xf numFmtId="186" fontId="31" fillId="0" borderId="3" xfId="0" applyNumberFormat="1" applyFont="1" applyFill="1" applyBorder="1" applyAlignment="1">
      <alignment horizontal="center" vertical="center"/>
    </xf>
    <xf numFmtId="186" fontId="0" fillId="0" borderId="0" xfId="0" applyNumberFormat="1" applyFill="1" applyBorder="1"/>
    <xf numFmtId="186" fontId="12" fillId="0" borderId="3" xfId="0" applyNumberFormat="1" applyFont="1" applyFill="1" applyBorder="1" applyAlignment="1">
      <alignment vertical="center"/>
    </xf>
    <xf numFmtId="186" fontId="24" fillId="7" borderId="3" xfId="0" applyNumberFormat="1" applyFont="1" applyFill="1" applyBorder="1" applyAlignment="1">
      <alignment horizontal="center" vertical="center"/>
    </xf>
    <xf numFmtId="186" fontId="12" fillId="0" borderId="0" xfId="0" applyNumberFormat="1" applyFont="1" applyFill="1" applyBorder="1" applyAlignment="1">
      <alignment vertical="center"/>
    </xf>
    <xf numFmtId="186" fontId="20" fillId="0" borderId="0" xfId="0" applyNumberFormat="1" applyFont="1" applyFill="1" applyBorder="1" applyAlignment="1">
      <alignment vertical="center"/>
    </xf>
    <xf numFmtId="186" fontId="20" fillId="0" borderId="0" xfId="0" applyNumberFormat="1" applyFont="1" applyFill="1" applyBorder="1" applyAlignment="1">
      <alignment horizontal="right" vertical="center" indent="1"/>
    </xf>
    <xf numFmtId="186" fontId="0" fillId="0" borderId="0" xfId="0" applyNumberFormat="1" applyFill="1" applyBorder="1" applyAlignment="1">
      <alignment horizontal="center"/>
    </xf>
    <xf numFmtId="186" fontId="0" fillId="0" borderId="0" xfId="0" applyNumberFormat="1"/>
    <xf numFmtId="186" fontId="0" fillId="0" borderId="0" xfId="0" applyNumberFormat="1" applyAlignment="1">
      <alignment horizontal="center"/>
    </xf>
    <xf numFmtId="186" fontId="0" fillId="0" borderId="0" xfId="0" applyNumberFormat="1" applyFill="1"/>
    <xf numFmtId="186" fontId="0" fillId="0" borderId="3" xfId="0" applyNumberFormat="1" applyBorder="1"/>
    <xf numFmtId="186" fontId="0" fillId="7" borderId="3" xfId="0" applyNumberFormat="1" applyFill="1" applyBorder="1" applyAlignment="1">
      <alignment horizontal="center"/>
    </xf>
    <xf numFmtId="186" fontId="0" fillId="7" borderId="3" xfId="0" applyNumberFormat="1" applyFill="1" applyBorder="1"/>
    <xf numFmtId="186" fontId="0" fillId="0" borderId="3" xfId="0" applyNumberFormat="1" applyBorder="1" applyAlignment="1">
      <alignment horizontal="center"/>
    </xf>
    <xf numFmtId="186" fontId="0" fillId="0" borderId="3" xfId="0" applyNumberFormat="1" applyFill="1" applyBorder="1"/>
    <xf numFmtId="187" fontId="0" fillId="0" borderId="4" xfId="0" applyNumberFormat="1" applyFill="1" applyBorder="1"/>
    <xf numFmtId="184" fontId="12" fillId="0" borderId="0" xfId="0" applyNumberFormat="1" applyFont="1" applyAlignment="1">
      <alignment horizontal="right" vertical="center" indent="1"/>
    </xf>
    <xf numFmtId="184" fontId="12" fillId="13" borderId="0" xfId="0" applyNumberFormat="1" applyFont="1" applyFill="1" applyAlignment="1">
      <alignment horizontal="right" vertical="center" indent="1"/>
    </xf>
    <xf numFmtId="187" fontId="28" fillId="0" borderId="3" xfId="0" applyNumberFormat="1" applyFont="1" applyFill="1" applyBorder="1"/>
    <xf numFmtId="187" fontId="0" fillId="0" borderId="0" xfId="0" applyNumberFormat="1" applyFill="1" applyBorder="1"/>
    <xf numFmtId="187" fontId="0" fillId="14" borderId="0" xfId="0" applyNumberFormat="1" applyFill="1" applyBorder="1"/>
    <xf numFmtId="187" fontId="0" fillId="25" borderId="3" xfId="0" applyNumberFormat="1" applyFill="1" applyBorder="1"/>
    <xf numFmtId="0" fontId="36" fillId="4" borderId="0" xfId="0" applyFont="1" applyFill="1"/>
    <xf numFmtId="1" fontId="0" fillId="13" borderId="0" xfId="0" applyNumberFormat="1" applyFill="1" applyAlignment="1">
      <alignment horizontal="center"/>
    </xf>
    <xf numFmtId="1" fontId="0" fillId="0" borderId="0" xfId="0" applyNumberFormat="1" applyFill="1"/>
    <xf numFmtId="184" fontId="28" fillId="14" borderId="0" xfId="0" applyNumberFormat="1" applyFont="1" applyFill="1" applyBorder="1"/>
    <xf numFmtId="1" fontId="0" fillId="0" borderId="0" xfId="0" applyNumberFormat="1" applyAlignment="1">
      <alignment horizontal="center" wrapText="1"/>
    </xf>
    <xf numFmtId="0" fontId="37" fillId="4" borderId="3" xfId="0" applyFont="1" applyFill="1" applyBorder="1" applyAlignment="1">
      <alignment vertical="center"/>
    </xf>
    <xf numFmtId="1" fontId="37" fillId="4" borderId="0" xfId="0" applyNumberFormat="1" applyFont="1" applyFill="1" applyAlignment="1">
      <alignment horizontal="center" vertical="center"/>
    </xf>
    <xf numFmtId="0" fontId="38" fillId="4" borderId="3" xfId="0" applyFont="1" applyFill="1" applyBorder="1" applyAlignment="1">
      <alignment vertical="center"/>
    </xf>
    <xf numFmtId="1" fontId="38" fillId="4" borderId="8" xfId="0" applyNumberFormat="1" applyFon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24" fillId="13" borderId="0" xfId="0" applyNumberFormat="1" applyFont="1" applyFill="1" applyBorder="1" applyAlignment="1">
      <alignment horizontal="center" vertical="center"/>
    </xf>
    <xf numFmtId="1" fontId="0" fillId="13" borderId="0" xfId="0" applyNumberFormat="1" applyFill="1" applyAlignment="1">
      <alignment horizontal="center" wrapText="1"/>
    </xf>
    <xf numFmtId="1" fontId="0" fillId="13" borderId="3" xfId="0" applyNumberFormat="1" applyFill="1" applyBorder="1" applyAlignment="1">
      <alignment horizontal="center"/>
    </xf>
    <xf numFmtId="1" fontId="37" fillId="13" borderId="0" xfId="0" applyNumberFormat="1" applyFont="1" applyFill="1" applyAlignment="1">
      <alignment horizontal="center" vertical="center"/>
    </xf>
    <xf numFmtId="1" fontId="39" fillId="13" borderId="3" xfId="0" applyNumberFormat="1" applyFont="1" applyFill="1" applyBorder="1" applyAlignment="1">
      <alignment horizontal="center" vertical="center"/>
    </xf>
    <xf numFmtId="1" fontId="38" fillId="13" borderId="8" xfId="0" applyNumberFormat="1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6" borderId="3" xfId="0" applyFill="1" applyBorder="1"/>
    <xf numFmtId="189" fontId="0" fillId="0" borderId="0" xfId="0" applyNumberFormat="1" applyAlignment="1">
      <alignment wrapText="1"/>
    </xf>
    <xf numFmtId="184" fontId="0" fillId="0" borderId="0" xfId="0" applyNumberFormat="1" applyAlignment="1">
      <alignment wrapText="1"/>
    </xf>
    <xf numFmtId="189" fontId="0" fillId="6" borderId="3" xfId="0" applyNumberFormat="1" applyFill="1" applyBorder="1"/>
    <xf numFmtId="192" fontId="0" fillId="0" borderId="0" xfId="0" applyNumberFormat="1" applyAlignment="1">
      <alignment horizontal="center"/>
    </xf>
    <xf numFmtId="189" fontId="0" fillId="6" borderId="3" xfId="0" applyNumberFormat="1" applyFill="1" applyBorder="1" applyAlignment="1">
      <alignment horizontal="center"/>
    </xf>
    <xf numFmtId="184" fontId="37" fillId="4" borderId="0" xfId="0" applyNumberFormat="1" applyFont="1" applyFill="1" applyAlignment="1">
      <alignment horizontal="right" vertical="center" indent="1"/>
    </xf>
    <xf numFmtId="0" fontId="39" fillId="4" borderId="3" xfId="0" applyFont="1" applyFill="1" applyBorder="1" applyAlignment="1">
      <alignment horizontal="center" vertical="center"/>
    </xf>
    <xf numFmtId="184" fontId="38" fillId="4" borderId="8" xfId="0" applyNumberFormat="1" applyFont="1" applyFill="1" applyBorder="1" applyAlignment="1">
      <alignment horizontal="right" vertical="center" indent="1"/>
    </xf>
    <xf numFmtId="193" fontId="0" fillId="7" borderId="3" xfId="0" applyNumberFormat="1" applyFill="1" applyBorder="1" applyAlignment="1">
      <alignment horizontal="center"/>
    </xf>
    <xf numFmtId="193" fontId="0" fillId="7" borderId="3" xfId="0" applyNumberFormat="1" applyFill="1" applyBorder="1"/>
    <xf numFmtId="0" fontId="0" fillId="14" borderId="0" xfId="0" applyFill="1" applyAlignment="1">
      <alignment horizontal="center" vertical="center"/>
    </xf>
    <xf numFmtId="184" fontId="28" fillId="4" borderId="0" xfId="0" applyNumberFormat="1" applyFont="1" applyFill="1" applyBorder="1"/>
    <xf numFmtId="0" fontId="24" fillId="16" borderId="3" xfId="0" applyFont="1" applyFill="1" applyBorder="1" applyAlignment="1">
      <alignment horizontal="center" vertical="center"/>
    </xf>
    <xf numFmtId="193" fontId="0" fillId="16" borderId="0" xfId="0" applyNumberFormat="1" applyFill="1"/>
    <xf numFmtId="0" fontId="0" fillId="16" borderId="3" xfId="0" applyFill="1" applyBorder="1"/>
    <xf numFmtId="185" fontId="22" fillId="0" borderId="0" xfId="0" applyNumberFormat="1" applyFont="1" applyFill="1" applyBorder="1" applyAlignment="1">
      <alignment horizontal="right" vertical="center" indent="1"/>
    </xf>
    <xf numFmtId="189" fontId="0" fillId="16" borderId="0" xfId="0" applyNumberFormat="1" applyFill="1" applyBorder="1"/>
    <xf numFmtId="189" fontId="23" fillId="16" borderId="0" xfId="0" applyNumberFormat="1" applyFont="1" applyFill="1" applyBorder="1" applyAlignment="1">
      <alignment vertical="center"/>
    </xf>
    <xf numFmtId="184" fontId="23" fillId="16" borderId="0" xfId="0" applyNumberFormat="1" applyFont="1" applyFill="1" applyBorder="1" applyAlignment="1">
      <alignment horizontal="right" vertical="center" indent="1"/>
    </xf>
    <xf numFmtId="193" fontId="0" fillId="16" borderId="0" xfId="0" applyNumberFormat="1" applyFill="1" applyBorder="1"/>
    <xf numFmtId="184" fontId="23" fillId="0" borderId="0" xfId="0" applyNumberFormat="1" applyFont="1" applyFill="1" applyBorder="1" applyAlignment="1">
      <alignment horizontal="right" vertical="center" indent="1"/>
    </xf>
    <xf numFmtId="0" fontId="21" fillId="0" borderId="0" xfId="0" applyFont="1" applyFill="1" applyBorder="1" applyAlignment="1">
      <alignment horizontal="right" vertical="center" indent="1"/>
    </xf>
    <xf numFmtId="0" fontId="23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189" fontId="0" fillId="0" borderId="0" xfId="0" applyNumberFormat="1" applyFill="1"/>
    <xf numFmtId="194" fontId="40" fillId="0" borderId="0" xfId="0" applyNumberFormat="1" applyFont="1" applyFill="1" applyBorder="1" applyAlignment="1">
      <alignment horizontal="right" vertical="center" indent="1"/>
    </xf>
    <xf numFmtId="0" fontId="1" fillId="30" borderId="0" xfId="0" applyFont="1" applyFill="1" applyBorder="1"/>
    <xf numFmtId="0" fontId="1" fillId="30" borderId="3" xfId="0" applyFont="1" applyFill="1" applyBorder="1"/>
    <xf numFmtId="0" fontId="0" fillId="30" borderId="3" xfId="0" applyFill="1" applyBorder="1"/>
    <xf numFmtId="0" fontId="0" fillId="30" borderId="0" xfId="0" applyFill="1" applyBorder="1"/>
    <xf numFmtId="0" fontId="24" fillId="30" borderId="3" xfId="0" applyFont="1" applyFill="1" applyBorder="1" applyAlignment="1">
      <alignment horizontal="center" vertical="center"/>
    </xf>
    <xf numFmtId="0" fontId="0" fillId="30" borderId="0" xfId="0" applyFill="1"/>
    <xf numFmtId="0" fontId="1" fillId="0" borderId="0" xfId="0" applyFont="1" applyFill="1" applyBorder="1"/>
    <xf numFmtId="0" fontId="36" fillId="0" borderId="0" xfId="0" applyFont="1" applyFill="1"/>
    <xf numFmtId="0" fontId="36" fillId="0" borderId="3" xfId="0" applyFont="1" applyFill="1" applyBorder="1"/>
    <xf numFmtId="0" fontId="1" fillId="3" borderId="0" xfId="0" applyFont="1" applyFill="1" applyBorder="1"/>
    <xf numFmtId="0" fontId="1" fillId="3" borderId="3" xfId="0" applyFont="1" applyFill="1" applyBorder="1"/>
    <xf numFmtId="0" fontId="0" fillId="3" borderId="3" xfId="0" applyFill="1" applyBorder="1"/>
    <xf numFmtId="0" fontId="24" fillId="3" borderId="3" xfId="0" applyFont="1" applyFill="1" applyBorder="1" applyAlignment="1">
      <alignment horizontal="center" vertical="center"/>
    </xf>
    <xf numFmtId="187" fontId="0" fillId="30" borderId="3" xfId="0" applyNumberFormat="1" applyFill="1" applyBorder="1"/>
    <xf numFmtId="0" fontId="0" fillId="0" borderId="3" xfId="0" applyFill="1" applyBorder="1" applyAlignment="1">
      <alignment horizontal="center" vertical="center"/>
    </xf>
    <xf numFmtId="187" fontId="0" fillId="3" borderId="3" xfId="0" applyNumberFormat="1" applyFill="1" applyBorder="1"/>
    <xf numFmtId="0" fontId="41" fillId="0" borderId="0" xfId="0" applyFont="1" applyFill="1" applyAlignment="1">
      <alignment horizontal="right" vertical="center"/>
    </xf>
    <xf numFmtId="0" fontId="0" fillId="0" borderId="0" xfId="0" applyAlignment="1"/>
    <xf numFmtId="0" fontId="41" fillId="0" borderId="0" xfId="0" applyFont="1" applyFill="1" applyAlignment="1">
      <alignment horizontal="left" vertical="center"/>
    </xf>
    <xf numFmtId="1" fontId="36" fillId="4" borderId="0" xfId="0" applyNumberFormat="1" applyFont="1" applyFill="1" applyAlignment="1">
      <alignment horizontal="center"/>
    </xf>
    <xf numFmtId="1" fontId="36" fillId="4" borderId="0" xfId="0" applyNumberFormat="1" applyFont="1" applyFill="1"/>
    <xf numFmtId="1" fontId="36" fillId="13" borderId="0" xfId="0" applyNumberFormat="1" applyFont="1" applyFill="1" applyAlignment="1">
      <alignment horizontal="center"/>
    </xf>
    <xf numFmtId="1" fontId="36" fillId="0" borderId="0" xfId="0" applyNumberFormat="1" applyFont="1" applyFill="1"/>
    <xf numFmtId="0" fontId="41" fillId="0" borderId="17" xfId="0" applyFont="1" applyFill="1" applyBorder="1" applyAlignment="1">
      <alignment horizontal="right" vertical="center"/>
    </xf>
    <xf numFmtId="184" fontId="28" fillId="14" borderId="21" xfId="0" applyNumberFormat="1" applyFont="1" applyFill="1" applyBorder="1" applyAlignment="1">
      <alignment horizontal="center"/>
    </xf>
    <xf numFmtId="184" fontId="28" fillId="14" borderId="0" xfId="0" applyNumberFormat="1" applyFont="1" applyFill="1" applyBorder="1" applyAlignment="1">
      <alignment horizontal="center"/>
    </xf>
    <xf numFmtId="187" fontId="24" fillId="0" borderId="7" xfId="0" applyNumberFormat="1" applyFont="1" applyBorder="1" applyAlignment="1">
      <alignment horizontal="center" vertical="center"/>
    </xf>
    <xf numFmtId="0" fontId="12" fillId="13" borderId="0" xfId="0" applyFont="1" applyFill="1" applyAlignment="1">
      <alignment vertical="center"/>
    </xf>
    <xf numFmtId="0" fontId="20" fillId="13" borderId="8" xfId="0" applyFont="1" applyFill="1" applyBorder="1" applyAlignment="1">
      <alignment vertical="center"/>
    </xf>
    <xf numFmtId="0" fontId="12" fillId="28" borderId="0" xfId="0" applyFont="1" applyFill="1" applyAlignment="1">
      <alignment vertical="center"/>
    </xf>
    <xf numFmtId="184" fontId="32" fillId="4" borderId="0" xfId="0" applyNumberFormat="1" applyFont="1" applyFill="1" applyAlignment="1">
      <alignment horizontal="right" vertical="center" indent="1"/>
    </xf>
    <xf numFmtId="184" fontId="32" fillId="4" borderId="8" xfId="0" applyNumberFormat="1" applyFont="1" applyFill="1" applyBorder="1" applyAlignment="1">
      <alignment horizontal="right" vertical="center" indent="1"/>
    </xf>
    <xf numFmtId="189" fontId="0" fillId="25" borderId="0" xfId="0" applyNumberFormat="1" applyFill="1"/>
    <xf numFmtId="0" fontId="42" fillId="26" borderId="0" xfId="0" applyFont="1" applyFill="1" applyAlignment="1">
      <alignment vertical="center"/>
    </xf>
    <xf numFmtId="185" fontId="42" fillId="26" borderId="0" xfId="0" applyNumberFormat="1" applyFont="1" applyFill="1" applyAlignment="1">
      <alignment horizontal="center" vertical="center" wrapText="1"/>
    </xf>
    <xf numFmtId="185" fontId="42" fillId="26" borderId="0" xfId="0" applyNumberFormat="1" applyFont="1" applyFill="1" applyAlignment="1">
      <alignment vertical="center" wrapText="1"/>
    </xf>
    <xf numFmtId="185" fontId="43" fillId="26" borderId="0" xfId="0" applyNumberFormat="1" applyFont="1" applyFill="1" applyAlignment="1">
      <alignment vertical="center" wrapText="1"/>
    </xf>
    <xf numFmtId="185" fontId="42" fillId="26" borderId="22" xfId="0" applyNumberFormat="1" applyFont="1" applyFill="1" applyBorder="1" applyAlignment="1">
      <alignment horizontal="center" vertical="center" wrapText="1"/>
    </xf>
    <xf numFmtId="185" fontId="42" fillId="26" borderId="22" xfId="0" applyNumberFormat="1" applyFont="1" applyFill="1" applyBorder="1" applyAlignment="1">
      <alignment vertical="center" wrapText="1"/>
    </xf>
    <xf numFmtId="185" fontId="43" fillId="26" borderId="22" xfId="0" applyNumberFormat="1" applyFont="1" applyFill="1" applyBorder="1" applyAlignment="1">
      <alignment vertical="center" wrapText="1"/>
    </xf>
    <xf numFmtId="0" fontId="42" fillId="26" borderId="0" xfId="0" applyFont="1" applyFill="1" applyAlignment="1">
      <alignment horizontal="center" vertical="center"/>
    </xf>
    <xf numFmtId="0" fontId="42" fillId="26" borderId="0" xfId="0" applyFont="1" applyFill="1" applyAlignment="1">
      <alignment horizontal="right" vertical="center" indent="1"/>
    </xf>
    <xf numFmtId="0" fontId="42" fillId="26" borderId="0" xfId="0" applyFont="1" applyFill="1" applyAlignment="1">
      <alignment horizontal="right" vertical="center" wrapText="1" indent="1"/>
    </xf>
    <xf numFmtId="184" fontId="12" fillId="0" borderId="8" xfId="0" applyNumberFormat="1" applyFont="1" applyFill="1" applyBorder="1" applyAlignment="1">
      <alignment horizontal="right" vertical="center" indent="1"/>
    </xf>
    <xf numFmtId="184" fontId="12" fillId="3" borderId="0" xfId="0" applyNumberFormat="1" applyFont="1" applyFill="1" applyAlignment="1">
      <alignment horizontal="right" vertical="center" indent="1"/>
    </xf>
    <xf numFmtId="194" fontId="44" fillId="0" borderId="23" xfId="0" applyNumberFormat="1" applyFont="1" applyFill="1" applyBorder="1" applyAlignment="1">
      <alignment horizontal="right" vertical="center" indent="1"/>
    </xf>
    <xf numFmtId="0" fontId="45" fillId="0" borderId="0" xfId="0" applyFont="1" applyAlignment="1">
      <alignment horizontal="center" vertical="center"/>
    </xf>
    <xf numFmtId="184" fontId="12" fillId="3" borderId="8" xfId="0" applyNumberFormat="1" applyFont="1" applyFill="1" applyBorder="1" applyAlignment="1">
      <alignment horizontal="right" vertical="center" indent="1"/>
    </xf>
    <xf numFmtId="185" fontId="43" fillId="26" borderId="0" xfId="0" applyNumberFormat="1" applyFont="1" applyFill="1" applyAlignment="1">
      <alignment horizontal="center" vertical="center" wrapText="1"/>
    </xf>
    <xf numFmtId="185" fontId="43" fillId="26" borderId="22" xfId="0" applyNumberFormat="1" applyFont="1" applyFill="1" applyBorder="1" applyAlignment="1">
      <alignment horizontal="center" vertical="center" wrapText="1"/>
    </xf>
    <xf numFmtId="187" fontId="0" fillId="0" borderId="0" xfId="0" applyNumberFormat="1"/>
    <xf numFmtId="187" fontId="0" fillId="0" borderId="3" xfId="0" applyNumberFormat="1" applyBorder="1"/>
    <xf numFmtId="0" fontId="25" fillId="0" borderId="3" xfId="0" applyFont="1" applyFill="1" applyBorder="1" applyAlignment="1" quotePrefix="1">
      <alignment horizontal="center" vertical="center"/>
    </xf>
    <xf numFmtId="0" fontId="24" fillId="0" borderId="3" xfId="0" applyFont="1" applyFill="1" applyBorder="1" applyAlignment="1" quotePrefix="1">
      <alignment horizontal="center" vertical="center"/>
    </xf>
    <xf numFmtId="0" fontId="25" fillId="7" borderId="3" xfId="0" applyFont="1" applyFill="1" applyBorder="1" applyAlignment="1" quotePrefix="1">
      <alignment horizontal="center" vertical="center"/>
    </xf>
    <xf numFmtId="0" fontId="2" fillId="2" borderId="0" xfId="0" applyFont="1" applyFill="1" applyAlignment="1" quotePrefix="1">
      <alignment horizontal="center" vertical="center"/>
    </xf>
    <xf numFmtId="0" fontId="2" fillId="18" borderId="0" xfId="0" applyFont="1" applyFill="1" applyAlignment="1" quotePrefix="1">
      <alignment horizontal="center" vertical="center"/>
    </xf>
    <xf numFmtId="0" fontId="0" fillId="20" borderId="0" xfId="0" applyFill="1" quotePrefix="1"/>
    <xf numFmtId="0" fontId="2" fillId="3" borderId="0" xfId="0" applyFont="1" applyFill="1" applyAlignment="1" quotePrefix="1">
      <alignment horizontal="center" vertical="center"/>
    </xf>
    <xf numFmtId="0" fontId="2" fillId="3" borderId="0" xfId="0" applyFont="1" applyFill="1" applyAlignment="1" quotePrefix="1">
      <alignment horizontal="right" vertical="top"/>
    </xf>
    <xf numFmtId="0" fontId="3" fillId="3" borderId="0" xfId="0" applyFont="1" applyFill="1" applyAlignment="1" quotePrefix="1">
      <alignment horizontal="center"/>
    </xf>
    <xf numFmtId="0" fontId="0" fillId="3" borderId="0" xfId="0" applyFill="1" quotePrefix="1"/>
    <xf numFmtId="0" fontId="3" fillId="13" borderId="0" xfId="0" applyFont="1" applyFill="1" applyAlignment="1" quotePrefix="1">
      <alignment horizontal="center"/>
    </xf>
    <xf numFmtId="0" fontId="3" fillId="21" borderId="0" xfId="0" applyFont="1" applyFill="1" applyAlignment="1" quotePrefix="1">
      <alignment horizontal="center"/>
    </xf>
    <xf numFmtId="0" fontId="2" fillId="3" borderId="0" xfId="0" applyFont="1" applyFill="1" applyAlignment="1" quotePrefix="1">
      <alignment horizontal="center" vertical="top"/>
    </xf>
    <xf numFmtId="0" fontId="0" fillId="3" borderId="0" xfId="0" applyFill="1" applyAlignment="1" quotePrefix="1">
      <alignment horizont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1" xfId="49"/>
    <cellStyle name="Normal 2" xfId="50"/>
    <cellStyle name="Normal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964565</xdr:colOff>
      <xdr:row>52</xdr:row>
      <xdr:rowOff>18415</xdr:rowOff>
    </xdr:from>
    <xdr:to>
      <xdr:col>5</xdr:col>
      <xdr:colOff>676910</xdr:colOff>
      <xdr:row>56</xdr:row>
      <xdr:rowOff>125730</xdr:rowOff>
    </xdr:to>
    <xdr:sp>
      <xdr:nvSpPr>
        <xdr:cNvPr id="2" name="Down Arrow 1"/>
        <xdr:cNvSpPr/>
      </xdr:nvSpPr>
      <xdr:spPr>
        <a:xfrm>
          <a:off x="3834765" y="9708515"/>
          <a:ext cx="2449195" cy="843915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964565</xdr:colOff>
      <xdr:row>52</xdr:row>
      <xdr:rowOff>18415</xdr:rowOff>
    </xdr:from>
    <xdr:to>
      <xdr:col>5</xdr:col>
      <xdr:colOff>676910</xdr:colOff>
      <xdr:row>56</xdr:row>
      <xdr:rowOff>125730</xdr:rowOff>
    </xdr:to>
    <xdr:sp>
      <xdr:nvSpPr>
        <xdr:cNvPr id="2" name="Down Arrow 1"/>
        <xdr:cNvSpPr/>
      </xdr:nvSpPr>
      <xdr:spPr>
        <a:xfrm>
          <a:off x="3834765" y="9708515"/>
          <a:ext cx="1236345" cy="843915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964565</xdr:colOff>
      <xdr:row>52</xdr:row>
      <xdr:rowOff>18415</xdr:rowOff>
    </xdr:from>
    <xdr:to>
      <xdr:col>5</xdr:col>
      <xdr:colOff>676910</xdr:colOff>
      <xdr:row>56</xdr:row>
      <xdr:rowOff>125730</xdr:rowOff>
    </xdr:to>
    <xdr:sp>
      <xdr:nvSpPr>
        <xdr:cNvPr id="2" name="Down Arrow 1"/>
        <xdr:cNvSpPr/>
      </xdr:nvSpPr>
      <xdr:spPr>
        <a:xfrm>
          <a:off x="3777615" y="9727565"/>
          <a:ext cx="1236345" cy="843915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964565</xdr:colOff>
      <xdr:row>52</xdr:row>
      <xdr:rowOff>18415</xdr:rowOff>
    </xdr:from>
    <xdr:to>
      <xdr:col>5</xdr:col>
      <xdr:colOff>676910</xdr:colOff>
      <xdr:row>56</xdr:row>
      <xdr:rowOff>125730</xdr:rowOff>
    </xdr:to>
    <xdr:sp>
      <xdr:nvSpPr>
        <xdr:cNvPr id="2" name="Down Arrow 1"/>
        <xdr:cNvSpPr/>
      </xdr:nvSpPr>
      <xdr:spPr>
        <a:xfrm>
          <a:off x="3777615" y="9708515"/>
          <a:ext cx="1236345" cy="951865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xli9\Downloads\About%20the%20solar%20paper\2ndrebuttal\1%20Fig.%203-4\Publication_collection\GNESTE_Solar_Pow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ize"/>
      <sheetName val="Data"/>
      <sheetName val="Meta"/>
      <sheetName val="Cover"/>
      <sheetName val="Global"/>
      <sheetName val="EU27"/>
      <sheetName val="Refined_USA(exclude used data)"/>
      <sheetName val="IN"/>
      <sheetName val="CN"/>
      <sheetName val="Africa-SouthAfrica"/>
      <sheetName val="japan"/>
      <sheetName val="brazil"/>
      <sheetName val="russia"/>
      <sheetName val="middleeast"/>
    </sheetNames>
    <sheetDataSet>
      <sheetData sheetId="0"/>
      <sheetData sheetId="1"/>
      <sheetData sheetId="2"/>
      <sheetData sheetId="3"/>
      <sheetData sheetId="4">
        <row r="12">
          <cell r="Q12">
            <v>1342.4006</v>
          </cell>
        </row>
        <row r="12">
          <cell r="V12">
            <v>918.0296</v>
          </cell>
        </row>
      </sheetData>
      <sheetData sheetId="5">
        <row r="13">
          <cell r="V13">
            <v>860.90269</v>
          </cell>
        </row>
        <row r="13">
          <cell r="AA13">
            <v>541.627513333333</v>
          </cell>
        </row>
        <row r="14">
          <cell r="AA14">
            <v>1189.72219333333</v>
          </cell>
        </row>
      </sheetData>
      <sheetData sheetId="6">
        <row r="23">
          <cell r="U23">
            <v>1470.8226</v>
          </cell>
        </row>
        <row r="23">
          <cell r="W23">
            <v>1444.85017333333</v>
          </cell>
          <cell r="X23">
            <v>1455.32953666667</v>
          </cell>
          <cell r="Y23">
            <v>1325.33026166667</v>
          </cell>
          <cell r="Z23">
            <v>1356.03953333333</v>
          </cell>
          <cell r="AA23">
            <v>1314.03670666667</v>
          </cell>
        </row>
      </sheetData>
      <sheetData sheetId="7">
        <row r="6">
          <cell r="V6">
            <v>609.1165</v>
          </cell>
        </row>
        <row r="6">
          <cell r="X6">
            <v>729.39687505</v>
          </cell>
          <cell r="Y6">
            <v>685.383611362</v>
          </cell>
          <cell r="Z6">
            <v>657.594206039</v>
          </cell>
          <cell r="AA6">
            <v>635.299485396</v>
          </cell>
          <cell r="AB6">
            <v>430.8385</v>
          </cell>
          <cell r="AC6">
            <v>297.13</v>
          </cell>
          <cell r="AD6">
            <v>252.5605</v>
          </cell>
        </row>
      </sheetData>
      <sheetData sheetId="8">
        <row r="5">
          <cell r="X5">
            <v>765.416545922</v>
          </cell>
          <cell r="Y5">
            <v>722.174660515</v>
          </cell>
          <cell r="Z5">
            <v>694.646657334</v>
          </cell>
          <cell r="AA5">
            <v>672.519206945</v>
          </cell>
        </row>
      </sheetData>
      <sheetData sheetId="9">
        <row r="5">
          <cell r="S5">
            <v>1263.9549</v>
          </cell>
        </row>
        <row r="5">
          <cell r="V5">
            <v>894.92417</v>
          </cell>
        </row>
        <row r="5">
          <cell r="AA5">
            <v>840.0544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www.oecd-nea.org/egc-2020" TargetMode="External"/><Relationship Id="rId1" Type="http://schemas.openxmlformats.org/officeDocument/2006/relationships/hyperlink" Target="https://www.iea.org/reports/projected-costs-of-generating-electricity-2020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9"/>
  <sheetViews>
    <sheetView zoomScale="53" zoomScaleNormal="53" workbookViewId="0">
      <selection activeCell="K19" sqref="K19"/>
    </sheetView>
  </sheetViews>
  <sheetFormatPr defaultColWidth="8.72727272727273" defaultRowHeight="14.5"/>
  <cols>
    <col min="1" max="1" width="31.8181818181818" customWidth="1"/>
    <col min="2" max="2" width="11" customWidth="1"/>
    <col min="10" max="10" width="14.5454545454545" customWidth="1"/>
    <col min="11" max="11" width="15.1818181818182"/>
    <col min="12" max="12" width="12.9090909090909"/>
    <col min="14" max="14" width="15.1818181818182"/>
    <col min="15" max="15" width="12.9090909090909"/>
    <col min="18" max="18" width="14.5454545454545" customWidth="1"/>
    <col min="19" max="20" width="12.9090909090909"/>
    <col min="22" max="23" width="12.8181818181818"/>
    <col min="25" max="26" width="12.9090909090909"/>
    <col min="28" max="29" width="12.8181818181818"/>
  </cols>
  <sheetData>
    <row r="1" spans="1:18">
      <c r="A1" s="448"/>
      <c r="B1" s="449" t="s">
        <v>0</v>
      </c>
      <c r="C1" s="449" t="s">
        <v>1</v>
      </c>
      <c r="D1" s="450"/>
      <c r="E1" s="449" t="s">
        <v>2</v>
      </c>
      <c r="F1" s="449" t="s">
        <v>3</v>
      </c>
      <c r="G1" s="451"/>
      <c r="H1" s="451"/>
      <c r="K1" s="461" t="s">
        <v>4</v>
      </c>
      <c r="L1" s="461"/>
      <c r="M1" s="461"/>
      <c r="N1" s="461"/>
      <c r="O1" s="461"/>
      <c r="P1" s="461"/>
      <c r="Q1" s="461"/>
      <c r="R1" s="461"/>
    </row>
    <row r="2" spans="1:18">
      <c r="A2" s="448"/>
      <c r="B2" s="452"/>
      <c r="C2" s="452"/>
      <c r="D2" s="453"/>
      <c r="E2" s="452"/>
      <c r="F2" s="452"/>
      <c r="G2" s="454"/>
      <c r="H2" s="454"/>
      <c r="K2" s="461"/>
      <c r="L2" s="461"/>
      <c r="M2" s="461"/>
      <c r="N2" s="461"/>
      <c r="O2" s="461"/>
      <c r="P2" s="461"/>
      <c r="Q2" s="461"/>
      <c r="R2" s="461"/>
    </row>
    <row r="3" spans="1:16">
      <c r="A3" s="455"/>
      <c r="B3" s="456">
        <v>2023</v>
      </c>
      <c r="C3" s="456">
        <v>2023</v>
      </c>
      <c r="D3" s="456"/>
      <c r="E3" s="457">
        <v>2023</v>
      </c>
      <c r="F3" s="456">
        <v>2023</v>
      </c>
      <c r="G3" s="456"/>
      <c r="H3" s="456"/>
      <c r="K3" s="177" t="s">
        <v>5</v>
      </c>
      <c r="L3" s="177"/>
      <c r="M3" s="177"/>
      <c r="N3" s="177"/>
      <c r="O3" s="177"/>
      <c r="P3" s="177"/>
    </row>
    <row r="4" spans="1:8">
      <c r="A4" s="158"/>
      <c r="B4" s="159"/>
      <c r="C4" s="159"/>
      <c r="D4" s="159"/>
      <c r="E4" s="159"/>
      <c r="G4" s="159"/>
      <c r="H4" s="159"/>
    </row>
    <row r="5" spans="1:16">
      <c r="A5" s="442" t="s">
        <v>6</v>
      </c>
      <c r="B5" s="364">
        <f>L5</f>
        <v>750</v>
      </c>
      <c r="C5" s="364">
        <f>M5</f>
        <v>12</v>
      </c>
      <c r="D5" s="364"/>
      <c r="E5" s="161">
        <f>O5</f>
        <v>990</v>
      </c>
      <c r="F5" s="161">
        <f>P5</f>
        <v>14</v>
      </c>
      <c r="G5" s="364"/>
      <c r="H5" s="364"/>
      <c r="K5" s="168" t="s">
        <v>6</v>
      </c>
      <c r="L5" s="169">
        <v>750</v>
      </c>
      <c r="M5" s="169">
        <v>12</v>
      </c>
      <c r="O5" s="169">
        <v>990</v>
      </c>
      <c r="P5" s="169">
        <v>14</v>
      </c>
    </row>
    <row r="6" spans="1:16">
      <c r="A6" s="442" t="s">
        <v>7</v>
      </c>
      <c r="B6" s="364">
        <f t="shared" ref="B6:B13" si="0">L6</f>
        <v>1110</v>
      </c>
      <c r="C6" s="364">
        <f t="shared" ref="C6:C13" si="1">M6</f>
        <v>16</v>
      </c>
      <c r="D6" s="161"/>
      <c r="E6" s="161">
        <f t="shared" ref="E6:E13" si="2">O6</f>
        <v>3460</v>
      </c>
      <c r="F6" s="161">
        <f t="shared" ref="F6:F13" si="3">P6</f>
        <v>52</v>
      </c>
      <c r="G6" s="161"/>
      <c r="H6" s="161"/>
      <c r="K6" s="168" t="s">
        <v>7</v>
      </c>
      <c r="L6" s="169">
        <v>1110</v>
      </c>
      <c r="M6" s="169">
        <v>16</v>
      </c>
      <c r="O6" s="169">
        <v>3460</v>
      </c>
      <c r="P6" s="169">
        <v>52</v>
      </c>
    </row>
    <row r="7" spans="1:16">
      <c r="A7" s="442" t="s">
        <v>8</v>
      </c>
      <c r="B7" s="364">
        <f t="shared" si="0"/>
        <v>1880</v>
      </c>
      <c r="C7" s="364">
        <f t="shared" si="1"/>
        <v>28</v>
      </c>
      <c r="D7" s="364"/>
      <c r="E7" s="161">
        <f t="shared" si="2"/>
        <v>1850</v>
      </c>
      <c r="F7" s="161">
        <f t="shared" si="3"/>
        <v>28</v>
      </c>
      <c r="G7" s="364"/>
      <c r="H7" s="364"/>
      <c r="K7" s="168" t="s">
        <v>8</v>
      </c>
      <c r="L7" s="169">
        <v>1880</v>
      </c>
      <c r="M7" s="169">
        <v>28</v>
      </c>
      <c r="O7" s="169">
        <v>1850</v>
      </c>
      <c r="P7" s="169">
        <v>28</v>
      </c>
    </row>
    <row r="8" spans="1:16">
      <c r="A8" s="442" t="s">
        <v>9</v>
      </c>
      <c r="B8" s="364">
        <f t="shared" si="0"/>
        <v>1250</v>
      </c>
      <c r="C8" s="364">
        <f t="shared" si="1"/>
        <v>18</v>
      </c>
      <c r="D8" s="161"/>
      <c r="E8" s="161">
        <f t="shared" si="2"/>
        <v>1610</v>
      </c>
      <c r="F8" s="161">
        <f t="shared" si="3"/>
        <v>24</v>
      </c>
      <c r="G8" s="161"/>
      <c r="H8" s="161"/>
      <c r="K8" s="168" t="s">
        <v>9</v>
      </c>
      <c r="L8" s="169">
        <v>1250</v>
      </c>
      <c r="M8" s="169">
        <v>18</v>
      </c>
      <c r="O8" s="169">
        <v>1610</v>
      </c>
      <c r="P8" s="169">
        <v>24</v>
      </c>
    </row>
    <row r="9" spans="1:16">
      <c r="A9" s="442" t="s">
        <v>10</v>
      </c>
      <c r="B9" s="364">
        <f t="shared" si="0"/>
        <v>670</v>
      </c>
      <c r="C9" s="364">
        <f t="shared" si="1"/>
        <v>12</v>
      </c>
      <c r="D9" s="161"/>
      <c r="E9" s="161">
        <f t="shared" si="2"/>
        <v>750</v>
      </c>
      <c r="F9" s="161">
        <f t="shared" si="3"/>
        <v>14</v>
      </c>
      <c r="G9" s="161"/>
      <c r="H9" s="161"/>
      <c r="K9" s="168" t="s">
        <v>10</v>
      </c>
      <c r="L9" s="169">
        <v>670</v>
      </c>
      <c r="M9" s="169">
        <v>12</v>
      </c>
      <c r="O9" s="169">
        <v>750</v>
      </c>
      <c r="P9" s="169">
        <v>14</v>
      </c>
    </row>
    <row r="10" spans="1:16">
      <c r="A10" s="442" t="s">
        <v>11</v>
      </c>
      <c r="B10" s="364">
        <f t="shared" si="0"/>
        <v>710</v>
      </c>
      <c r="C10" s="364">
        <f t="shared" si="1"/>
        <v>10</v>
      </c>
      <c r="D10" s="161"/>
      <c r="E10" s="161">
        <f t="shared" si="2"/>
        <v>780</v>
      </c>
      <c r="F10" s="161">
        <f t="shared" si="3"/>
        <v>12</v>
      </c>
      <c r="G10" s="161"/>
      <c r="H10" s="161"/>
      <c r="K10" s="168" t="s">
        <v>11</v>
      </c>
      <c r="L10" s="169">
        <v>710</v>
      </c>
      <c r="M10" s="169">
        <v>10</v>
      </c>
      <c r="O10" s="169">
        <v>780</v>
      </c>
      <c r="P10" s="169">
        <v>12</v>
      </c>
    </row>
    <row r="11" spans="1:16">
      <c r="A11" s="444" t="s">
        <v>12</v>
      </c>
      <c r="B11" s="364">
        <f t="shared" si="0"/>
        <v>610</v>
      </c>
      <c r="C11" s="364">
        <f t="shared" si="1"/>
        <v>10</v>
      </c>
      <c r="D11" s="161"/>
      <c r="E11" s="161">
        <f t="shared" si="2"/>
        <v>1010</v>
      </c>
      <c r="F11" s="161">
        <f t="shared" si="3"/>
        <v>16</v>
      </c>
      <c r="G11" s="161"/>
      <c r="H11" s="161"/>
      <c r="K11" s="168" t="s">
        <v>12</v>
      </c>
      <c r="L11" s="169">
        <v>610</v>
      </c>
      <c r="M11" s="169">
        <v>10</v>
      </c>
      <c r="O11" s="169">
        <v>1010</v>
      </c>
      <c r="P11" s="169">
        <v>16</v>
      </c>
    </row>
    <row r="12" spans="1:16">
      <c r="A12" s="444" t="s">
        <v>13</v>
      </c>
      <c r="B12" s="364">
        <f t="shared" si="0"/>
        <v>1330</v>
      </c>
      <c r="C12" s="364">
        <f t="shared" si="1"/>
        <v>20</v>
      </c>
      <c r="D12" s="161"/>
      <c r="E12" s="161">
        <f t="shared" si="2"/>
        <v>1830</v>
      </c>
      <c r="F12" s="161">
        <f t="shared" si="3"/>
        <v>28</v>
      </c>
      <c r="G12" s="161"/>
      <c r="H12" s="161"/>
      <c r="K12" s="168" t="s">
        <v>13</v>
      </c>
      <c r="L12" s="169">
        <v>1330</v>
      </c>
      <c r="M12" s="169">
        <v>20</v>
      </c>
      <c r="O12" s="169">
        <v>1830</v>
      </c>
      <c r="P12" s="169">
        <v>28</v>
      </c>
    </row>
    <row r="13" spans="1:16">
      <c r="A13" s="443" t="s">
        <v>14</v>
      </c>
      <c r="B13" s="364">
        <f t="shared" si="0"/>
        <v>730</v>
      </c>
      <c r="C13" s="364">
        <f t="shared" si="1"/>
        <v>10</v>
      </c>
      <c r="D13" s="163"/>
      <c r="E13" s="161">
        <f t="shared" si="2"/>
        <v>560</v>
      </c>
      <c r="F13" s="161">
        <f t="shared" si="3"/>
        <v>8</v>
      </c>
      <c r="G13" s="458"/>
      <c r="H13" s="458"/>
      <c r="K13" s="170" t="s">
        <v>14</v>
      </c>
      <c r="L13" s="171">
        <v>730</v>
      </c>
      <c r="M13" s="171">
        <v>10</v>
      </c>
      <c r="O13" s="171">
        <v>560</v>
      </c>
      <c r="P13" s="171">
        <v>8</v>
      </c>
    </row>
    <row r="14" spans="1:8">
      <c r="A14" s="158"/>
      <c r="B14" s="159"/>
      <c r="C14" s="159"/>
      <c r="D14" s="159"/>
      <c r="E14" s="159"/>
      <c r="F14" s="159"/>
      <c r="G14" s="159"/>
      <c r="H14" s="159"/>
    </row>
    <row r="15" spans="1:8">
      <c r="A15" s="442"/>
      <c r="B15" s="14" t="s">
        <v>15</v>
      </c>
      <c r="C15" s="14" t="s">
        <v>15</v>
      </c>
      <c r="D15" s="459"/>
      <c r="E15" s="14" t="s">
        <v>15</v>
      </c>
      <c r="F15" s="14" t="s">
        <v>15</v>
      </c>
      <c r="G15" s="459"/>
      <c r="H15" s="459"/>
    </row>
    <row r="16" spans="1:8">
      <c r="A16" s="442"/>
      <c r="B16" s="14">
        <v>2023</v>
      </c>
      <c r="C16" s="459">
        <v>2023</v>
      </c>
      <c r="D16" s="459"/>
      <c r="E16" s="14">
        <v>2023</v>
      </c>
      <c r="F16" s="459">
        <v>2023</v>
      </c>
      <c r="G16" s="459"/>
      <c r="H16" s="459"/>
    </row>
    <row r="17" spans="1:8">
      <c r="A17" s="442" t="s">
        <v>6</v>
      </c>
      <c r="B17" s="234">
        <f>'Summari-ForCount (2030)'!AO60</f>
        <v>266.93</v>
      </c>
      <c r="C17" s="161">
        <f>B17</f>
        <v>266.93</v>
      </c>
      <c r="D17" s="161"/>
      <c r="E17" s="460">
        <f>B17</f>
        <v>266.93</v>
      </c>
      <c r="F17" s="460">
        <f>C17</f>
        <v>266.93</v>
      </c>
      <c r="G17" s="161"/>
      <c r="H17" s="161"/>
    </row>
    <row r="18" spans="1:8">
      <c r="A18" s="442" t="s">
        <v>7</v>
      </c>
      <c r="B18" s="234">
        <f>'Summari-ForCount (2030)'!AO62</f>
        <v>169.75</v>
      </c>
      <c r="C18" s="161">
        <f t="shared" ref="C18:C25" si="4">B18</f>
        <v>169.75</v>
      </c>
      <c r="D18" s="161"/>
      <c r="E18" s="460">
        <f t="shared" ref="E18:E25" si="5">B18</f>
        <v>169.75</v>
      </c>
      <c r="F18" s="460">
        <f t="shared" ref="F18:F25" si="6">C18</f>
        <v>169.75</v>
      </c>
      <c r="G18" s="161"/>
      <c r="H18" s="161"/>
    </row>
    <row r="19" spans="1:8">
      <c r="A19" s="442" t="s">
        <v>8</v>
      </c>
      <c r="B19" s="234">
        <f>'Summari-ForCount (2030)'!AO66</f>
        <v>108.16</v>
      </c>
      <c r="C19" s="161">
        <f t="shared" si="4"/>
        <v>108.16</v>
      </c>
      <c r="D19" s="364"/>
      <c r="E19" s="460">
        <f t="shared" si="5"/>
        <v>108.16</v>
      </c>
      <c r="F19" s="460">
        <f t="shared" si="6"/>
        <v>108.16</v>
      </c>
      <c r="G19" s="364"/>
      <c r="H19" s="364"/>
    </row>
    <row r="20" spans="1:8">
      <c r="A20" s="442" t="s">
        <v>9</v>
      </c>
      <c r="B20" s="234">
        <f>'Summari-ForCount (2030)'!AO63</f>
        <v>2.13</v>
      </c>
      <c r="C20" s="161">
        <f t="shared" si="4"/>
        <v>2.13</v>
      </c>
      <c r="D20" s="364"/>
      <c r="E20" s="460">
        <f t="shared" si="5"/>
        <v>2.13</v>
      </c>
      <c r="F20" s="460">
        <f t="shared" si="6"/>
        <v>2.13</v>
      </c>
      <c r="G20" s="364"/>
      <c r="H20" s="364"/>
    </row>
    <row r="21" spans="1:8">
      <c r="A21" s="442" t="s">
        <v>10</v>
      </c>
      <c r="B21" s="234">
        <f>'Summari-ForCount (2030)'!AO64</f>
        <v>688.24</v>
      </c>
      <c r="C21" s="161">
        <f t="shared" si="4"/>
        <v>688.24</v>
      </c>
      <c r="D21" s="161"/>
      <c r="E21" s="460">
        <f t="shared" si="5"/>
        <v>688.24</v>
      </c>
      <c r="F21" s="460">
        <f t="shared" si="6"/>
        <v>688.24</v>
      </c>
      <c r="G21" s="161"/>
      <c r="H21" s="161"/>
    </row>
    <row r="22" spans="1:8">
      <c r="A22" s="442" t="s">
        <v>11</v>
      </c>
      <c r="B22" s="234">
        <f>'Summari-ForCount (2030)'!AO65</f>
        <v>94.77</v>
      </c>
      <c r="C22" s="161">
        <f t="shared" si="4"/>
        <v>94.77</v>
      </c>
      <c r="D22" s="161"/>
      <c r="E22" s="460">
        <f t="shared" si="5"/>
        <v>94.77</v>
      </c>
      <c r="F22" s="460">
        <f t="shared" si="6"/>
        <v>94.77</v>
      </c>
      <c r="G22" s="161"/>
      <c r="H22" s="161"/>
    </row>
    <row r="23" spans="1:8">
      <c r="A23" s="444" t="s">
        <v>12</v>
      </c>
      <c r="B23" s="234">
        <f>'Summarize-ForReg(Current&amp;2050)'!AL65</f>
        <v>13.85</v>
      </c>
      <c r="C23" s="161">
        <f t="shared" si="4"/>
        <v>13.85</v>
      </c>
      <c r="D23" s="163"/>
      <c r="E23" s="460">
        <f t="shared" si="5"/>
        <v>13.85</v>
      </c>
      <c r="F23" s="460">
        <f t="shared" si="6"/>
        <v>13.85</v>
      </c>
      <c r="G23" s="458"/>
      <c r="H23" s="458"/>
    </row>
    <row r="24" spans="1:6">
      <c r="A24" s="444" t="s">
        <v>13</v>
      </c>
      <c r="B24" s="234">
        <f>'Summarize-ForReg(Current&amp;2050)'!AL66</f>
        <v>17.04</v>
      </c>
      <c r="C24" s="161">
        <f t="shared" si="4"/>
        <v>17.04</v>
      </c>
      <c r="E24" s="460">
        <f t="shared" si="5"/>
        <v>17.04</v>
      </c>
      <c r="F24" s="460">
        <f t="shared" si="6"/>
        <v>17.04</v>
      </c>
    </row>
    <row r="25" spans="1:6">
      <c r="A25" s="443" t="s">
        <v>14</v>
      </c>
      <c r="B25" s="234">
        <f>'Summari-ForCount (2030)'!AO61</f>
        <v>41.48</v>
      </c>
      <c r="C25" s="161">
        <f t="shared" si="4"/>
        <v>41.48</v>
      </c>
      <c r="E25" s="460">
        <f t="shared" si="5"/>
        <v>41.48</v>
      </c>
      <c r="F25" s="460">
        <f t="shared" si="6"/>
        <v>41.48</v>
      </c>
    </row>
    <row r="26" spans="11:29">
      <c r="K26" s="449" t="s">
        <v>0</v>
      </c>
      <c r="L26" s="449" t="s">
        <v>1</v>
      </c>
      <c r="M26" s="450"/>
      <c r="N26" s="449" t="s">
        <v>2</v>
      </c>
      <c r="O26" s="449" t="s">
        <v>3</v>
      </c>
      <c r="S26" s="387" t="s">
        <v>16</v>
      </c>
      <c r="T26" s="387"/>
      <c r="U26" s="173"/>
      <c r="V26" s="173"/>
      <c r="W26" s="173"/>
      <c r="X26" s="173"/>
      <c r="Y26" s="173"/>
      <c r="Z26" s="173"/>
      <c r="AA26" s="173"/>
      <c r="AB26" s="173"/>
      <c r="AC26" s="173"/>
    </row>
    <row r="27" spans="1:29">
      <c r="A27" s="442"/>
      <c r="B27" s="14" t="s">
        <v>15</v>
      </c>
      <c r="C27" s="14" t="s">
        <v>15</v>
      </c>
      <c r="D27" s="459"/>
      <c r="E27" s="14" t="s">
        <v>15</v>
      </c>
      <c r="F27" s="14" t="s">
        <v>15</v>
      </c>
      <c r="G27" s="459"/>
      <c r="H27" s="459"/>
      <c r="K27" s="452"/>
      <c r="L27" s="452"/>
      <c r="M27" s="453"/>
      <c r="N27" s="452"/>
      <c r="O27" s="452"/>
      <c r="S27" s="387" t="s">
        <v>0</v>
      </c>
      <c r="T27" s="387"/>
      <c r="U27" s="173"/>
      <c r="V27" s="387" t="s">
        <v>17</v>
      </c>
      <c r="W27" s="387"/>
      <c r="X27" s="173"/>
      <c r="Y27" s="387" t="s">
        <v>18</v>
      </c>
      <c r="Z27" s="387"/>
      <c r="AA27" s="173"/>
      <c r="AB27" s="387" t="s">
        <v>19</v>
      </c>
      <c r="AC27" s="387"/>
    </row>
    <row r="28" spans="1:29">
      <c r="A28" s="442"/>
      <c r="B28" s="14" t="s">
        <v>20</v>
      </c>
      <c r="C28" s="459">
        <v>2030</v>
      </c>
      <c r="D28" s="459"/>
      <c r="E28" s="14">
        <v>2030</v>
      </c>
      <c r="F28" s="459">
        <v>2030</v>
      </c>
      <c r="G28" s="459"/>
      <c r="H28" s="459"/>
      <c r="K28" s="14" t="s">
        <v>20</v>
      </c>
      <c r="L28" s="459">
        <v>2030</v>
      </c>
      <c r="M28" s="459"/>
      <c r="N28" s="14">
        <v>2030</v>
      </c>
      <c r="O28" s="459">
        <v>2030</v>
      </c>
      <c r="S28" s="173" t="str">
        <f>K28</f>
        <v>APS-2030</v>
      </c>
      <c r="T28" s="173" t="str">
        <f>K40</f>
        <v>APS-2050</v>
      </c>
      <c r="U28" s="173"/>
      <c r="V28" s="173">
        <f>N28</f>
        <v>2030</v>
      </c>
      <c r="W28" s="173">
        <f>N40</f>
        <v>2050</v>
      </c>
      <c r="X28" s="173"/>
      <c r="Y28" s="173"/>
      <c r="Z28" s="173"/>
      <c r="AA28" s="173"/>
      <c r="AB28" s="173"/>
      <c r="AC28" s="173"/>
    </row>
    <row r="29" spans="1:29">
      <c r="A29" s="442" t="s">
        <v>6</v>
      </c>
      <c r="B29" s="234">
        <f>'Summari-ForCount (2030)'!AR60</f>
        <v>746.62</v>
      </c>
      <c r="C29" s="161">
        <f t="shared" ref="C29:C37" si="7">B29</f>
        <v>746.62</v>
      </c>
      <c r="D29" s="161"/>
      <c r="E29" s="460">
        <f t="shared" ref="E29:E37" si="8">B29</f>
        <v>746.62</v>
      </c>
      <c r="F29" s="460">
        <f t="shared" ref="F29:F37" si="9">C29</f>
        <v>746.62</v>
      </c>
      <c r="G29" s="161"/>
      <c r="H29" s="161"/>
      <c r="J29" s="442" t="s">
        <v>6</v>
      </c>
      <c r="K29" s="465">
        <f t="shared" ref="K29:O29" si="10">B5*(0.8)^(LOG((B29/B17),2))</f>
        <v>538.586253480774</v>
      </c>
      <c r="L29" s="465">
        <f t="shared" si="10"/>
        <v>8.61738005569239</v>
      </c>
      <c r="M29" s="465"/>
      <c r="N29" s="465">
        <f t="shared" si="10"/>
        <v>710.933854594622</v>
      </c>
      <c r="O29" s="465">
        <f t="shared" si="10"/>
        <v>10.0536100649745</v>
      </c>
      <c r="R29" s="442" t="s">
        <v>6</v>
      </c>
      <c r="S29" s="466">
        <f>K29</f>
        <v>538.586253480774</v>
      </c>
      <c r="T29" s="466">
        <f>K41</f>
        <v>476.62090316884</v>
      </c>
      <c r="U29" s="173"/>
      <c r="V29" s="466">
        <f>L29</f>
        <v>8.61738005569239</v>
      </c>
      <c r="W29" s="466">
        <f>L41</f>
        <v>7.62593445070144</v>
      </c>
      <c r="X29" s="173"/>
      <c r="Y29" s="466">
        <f>N29</f>
        <v>710.933854594622</v>
      </c>
      <c r="Z29" s="466">
        <f>N41</f>
        <v>629.139592182869</v>
      </c>
      <c r="AA29" s="466"/>
      <c r="AB29" s="466">
        <f>O29</f>
        <v>10.0536100649745</v>
      </c>
      <c r="AC29" s="466">
        <f>O41</f>
        <v>8.89692352581835</v>
      </c>
    </row>
    <row r="30" spans="1:29">
      <c r="A30" s="442" t="s">
        <v>7</v>
      </c>
      <c r="B30" s="234">
        <f>'Summari-ForCount (2030)'!AR62</f>
        <v>719.52</v>
      </c>
      <c r="C30" s="161">
        <f t="shared" si="7"/>
        <v>719.52</v>
      </c>
      <c r="D30" s="161"/>
      <c r="E30" s="460">
        <f t="shared" si="8"/>
        <v>719.52</v>
      </c>
      <c r="F30" s="460">
        <f t="shared" si="9"/>
        <v>719.52</v>
      </c>
      <c r="G30" s="161"/>
      <c r="H30" s="161"/>
      <c r="J30" s="442" t="s">
        <v>7</v>
      </c>
      <c r="K30" s="465">
        <f t="shared" ref="K30:K37" si="11">B6*(0.8)^(LOG((B30/B18),2))</f>
        <v>697.266862554483</v>
      </c>
      <c r="L30" s="465">
        <f t="shared" ref="L30:L37" si="12">C6*(0.8)^(LOG((C30/C18),2))</f>
        <v>10.0506935142989</v>
      </c>
      <c r="M30" s="465"/>
      <c r="N30" s="465">
        <f t="shared" ref="N30:N37" si="13">E6*(0.8)^(LOG((E30/E18),2))</f>
        <v>2173.46247246713</v>
      </c>
      <c r="O30" s="465">
        <f t="shared" ref="O30:O37" si="14">F6*(0.8)^(LOG((F30/F18),2))</f>
        <v>32.6647539214713</v>
      </c>
      <c r="R30" s="442" t="s">
        <v>7</v>
      </c>
      <c r="S30" s="466">
        <f t="shared" ref="S30:S37" si="15">K30</f>
        <v>697.266862554483</v>
      </c>
      <c r="T30" s="466">
        <f t="shared" ref="T30:T37" si="16">K42</f>
        <v>497.136526441659</v>
      </c>
      <c r="U30" s="173"/>
      <c r="V30" s="430">
        <f t="shared" ref="V30:V37" si="17">L30</f>
        <v>10.0506935142989</v>
      </c>
      <c r="W30" s="430">
        <f t="shared" ref="W30:W37" si="18">L42</f>
        <v>7.16593191267257</v>
      </c>
      <c r="X30" s="173"/>
      <c r="Y30" s="466">
        <f t="shared" ref="Y30:Y37" si="19">N30</f>
        <v>2173.46247246713</v>
      </c>
      <c r="Z30" s="466">
        <f t="shared" ref="Z30:Z37" si="20">N42</f>
        <v>1549.63277611544</v>
      </c>
      <c r="AA30" s="466"/>
      <c r="AB30" s="466">
        <f t="shared" ref="AB30:AB37" si="21">O30</f>
        <v>32.6647539214713</v>
      </c>
      <c r="AC30" s="466">
        <f t="shared" ref="AC30:AC37" si="22">O42</f>
        <v>23.2892787161858</v>
      </c>
    </row>
    <row r="31" spans="1:29">
      <c r="A31" s="442" t="s">
        <v>8</v>
      </c>
      <c r="B31" s="234">
        <f>'Summari-ForCount (2030)'!AR66</f>
        <v>172.08</v>
      </c>
      <c r="C31" s="161">
        <f t="shared" si="7"/>
        <v>172.08</v>
      </c>
      <c r="D31" s="364"/>
      <c r="E31" s="460">
        <f t="shared" si="8"/>
        <v>172.08</v>
      </c>
      <c r="F31" s="460">
        <f t="shared" si="9"/>
        <v>172.08</v>
      </c>
      <c r="G31" s="364"/>
      <c r="H31" s="364"/>
      <c r="J31" s="442" t="s">
        <v>8</v>
      </c>
      <c r="K31" s="465">
        <f t="shared" si="11"/>
        <v>1618.9619153095</v>
      </c>
      <c r="L31" s="465">
        <f t="shared" si="12"/>
        <v>24.1121987386522</v>
      </c>
      <c r="M31" s="465"/>
      <c r="N31" s="465">
        <f t="shared" si="13"/>
        <v>1593.12741666095</v>
      </c>
      <c r="O31" s="465">
        <f t="shared" si="14"/>
        <v>24.1121987386522</v>
      </c>
      <c r="R31" s="442" t="s">
        <v>8</v>
      </c>
      <c r="S31" s="466">
        <f t="shared" si="15"/>
        <v>1618.9619153095</v>
      </c>
      <c r="T31" s="466">
        <f t="shared" si="16"/>
        <v>1490.61725608848</v>
      </c>
      <c r="U31" s="173"/>
      <c r="V31" s="466">
        <f t="shared" si="17"/>
        <v>24.1121987386522</v>
      </c>
      <c r="W31" s="466">
        <f t="shared" si="18"/>
        <v>22.200682537488</v>
      </c>
      <c r="X31" s="173"/>
      <c r="Y31" s="466">
        <f t="shared" si="19"/>
        <v>1593.12741666095</v>
      </c>
      <c r="Z31" s="466">
        <f t="shared" si="20"/>
        <v>1466.8308105126</v>
      </c>
      <c r="AA31" s="466"/>
      <c r="AB31" s="466">
        <f t="shared" si="21"/>
        <v>24.1121987386522</v>
      </c>
      <c r="AC31" s="466">
        <f t="shared" si="22"/>
        <v>22.200682537488</v>
      </c>
    </row>
    <row r="32" spans="1:29">
      <c r="A32" s="442" t="s">
        <v>9</v>
      </c>
      <c r="B32" s="234">
        <f>'Summari-ForCount (2030)'!AR63</f>
        <v>5.49</v>
      </c>
      <c r="C32" s="161">
        <f t="shared" si="7"/>
        <v>5.49</v>
      </c>
      <c r="D32" s="364"/>
      <c r="E32" s="460">
        <f t="shared" si="8"/>
        <v>5.49</v>
      </c>
      <c r="F32" s="460">
        <f t="shared" si="9"/>
        <v>5.49</v>
      </c>
      <c r="G32" s="364"/>
      <c r="H32" s="364"/>
      <c r="J32" s="442" t="s">
        <v>9</v>
      </c>
      <c r="K32" s="465">
        <f t="shared" si="11"/>
        <v>921.585254295856</v>
      </c>
      <c r="L32" s="465">
        <f t="shared" si="12"/>
        <v>13.2708276618603</v>
      </c>
      <c r="M32" s="465"/>
      <c r="N32" s="465">
        <f t="shared" si="13"/>
        <v>1187.00180753306</v>
      </c>
      <c r="O32" s="465">
        <f t="shared" si="14"/>
        <v>17.6944368824804</v>
      </c>
      <c r="R32" s="442" t="s">
        <v>9</v>
      </c>
      <c r="S32" s="466">
        <f t="shared" si="15"/>
        <v>921.585254295856</v>
      </c>
      <c r="T32" s="466">
        <f t="shared" si="16"/>
        <v>609.11355885838</v>
      </c>
      <c r="U32" s="173"/>
      <c r="V32" s="466">
        <f t="shared" si="17"/>
        <v>13.2708276618603</v>
      </c>
      <c r="W32" s="466">
        <f t="shared" si="18"/>
        <v>8.77123524756066</v>
      </c>
      <c r="X32" s="173"/>
      <c r="Y32" s="466">
        <f t="shared" si="19"/>
        <v>1187.00180753306</v>
      </c>
      <c r="Z32" s="466">
        <f t="shared" si="20"/>
        <v>784.538263809593</v>
      </c>
      <c r="AA32" s="466"/>
      <c r="AB32" s="466">
        <f t="shared" si="21"/>
        <v>17.6944368824804</v>
      </c>
      <c r="AC32" s="466">
        <f t="shared" si="22"/>
        <v>11.6949803300809</v>
      </c>
    </row>
    <row r="33" spans="1:29">
      <c r="A33" s="442" t="s">
        <v>10</v>
      </c>
      <c r="B33" s="234">
        <f>'Summari-ForCount (2030)'!AR64</f>
        <v>3315.59</v>
      </c>
      <c r="C33" s="161">
        <f t="shared" si="7"/>
        <v>3315.59</v>
      </c>
      <c r="D33" s="161"/>
      <c r="E33" s="460">
        <f t="shared" si="8"/>
        <v>3315.59</v>
      </c>
      <c r="F33" s="460">
        <f t="shared" si="9"/>
        <v>3315.59</v>
      </c>
      <c r="G33" s="161"/>
      <c r="H33" s="161"/>
      <c r="J33" s="442" t="s">
        <v>10</v>
      </c>
      <c r="K33" s="465">
        <f t="shared" si="11"/>
        <v>403.882994522785</v>
      </c>
      <c r="L33" s="465">
        <f t="shared" si="12"/>
        <v>7.23372527503496</v>
      </c>
      <c r="M33" s="465"/>
      <c r="N33" s="465">
        <f t="shared" si="13"/>
        <v>452.107829689685</v>
      </c>
      <c r="O33" s="465">
        <f t="shared" si="14"/>
        <v>8.43934615420745</v>
      </c>
      <c r="R33" s="442" t="s">
        <v>10</v>
      </c>
      <c r="S33" s="466">
        <f t="shared" si="15"/>
        <v>403.882994522785</v>
      </c>
      <c r="T33" s="466">
        <f t="shared" si="16"/>
        <v>286.849430038028</v>
      </c>
      <c r="U33" s="173"/>
      <c r="V33" s="466">
        <f t="shared" si="17"/>
        <v>7.23372527503496</v>
      </c>
      <c r="W33" s="466">
        <f t="shared" si="18"/>
        <v>5.13760173202438</v>
      </c>
      <c r="X33" s="173"/>
      <c r="Y33" s="466">
        <f t="shared" si="19"/>
        <v>452.107829689685</v>
      </c>
      <c r="Z33" s="466">
        <f t="shared" si="20"/>
        <v>321.100108251524</v>
      </c>
      <c r="AA33" s="466"/>
      <c r="AB33" s="466">
        <f t="shared" si="21"/>
        <v>8.43934615420745</v>
      </c>
      <c r="AC33" s="466">
        <f t="shared" si="22"/>
        <v>5.99386868736177</v>
      </c>
    </row>
    <row r="34" spans="1:29">
      <c r="A34" s="442" t="s">
        <v>11</v>
      </c>
      <c r="B34" s="234">
        <f>'Summari-ForCount (2030)'!AR65</f>
        <v>385.32</v>
      </c>
      <c r="C34" s="161">
        <f t="shared" si="7"/>
        <v>385.32</v>
      </c>
      <c r="D34" s="161"/>
      <c r="E34" s="460">
        <f t="shared" si="8"/>
        <v>385.32</v>
      </c>
      <c r="F34" s="460">
        <f t="shared" si="9"/>
        <v>385.32</v>
      </c>
      <c r="G34" s="161"/>
      <c r="H34" s="161"/>
      <c r="J34" s="442" t="s">
        <v>11</v>
      </c>
      <c r="K34" s="465">
        <f t="shared" si="11"/>
        <v>452.017900423756</v>
      </c>
      <c r="L34" s="465">
        <f t="shared" si="12"/>
        <v>6.36644930174305</v>
      </c>
      <c r="M34" s="465"/>
      <c r="N34" s="465">
        <f t="shared" si="13"/>
        <v>496.583045535958</v>
      </c>
      <c r="O34" s="465">
        <f t="shared" si="14"/>
        <v>7.63973916209166</v>
      </c>
      <c r="R34" s="442" t="s">
        <v>11</v>
      </c>
      <c r="S34" s="466">
        <f t="shared" si="15"/>
        <v>452.017900423756</v>
      </c>
      <c r="T34" s="466">
        <f t="shared" si="16"/>
        <v>271.255628267598</v>
      </c>
      <c r="U34" s="173"/>
      <c r="V34" s="466">
        <f t="shared" si="17"/>
        <v>6.36644930174305</v>
      </c>
      <c r="W34" s="466">
        <f t="shared" si="18"/>
        <v>3.82050180658589</v>
      </c>
      <c r="X34" s="173"/>
      <c r="Y34" s="466">
        <f t="shared" si="19"/>
        <v>496.583045535958</v>
      </c>
      <c r="Z34" s="466">
        <f t="shared" si="20"/>
        <v>297.999140913699</v>
      </c>
      <c r="AA34" s="466"/>
      <c r="AB34" s="466">
        <f t="shared" si="21"/>
        <v>7.63973916209166</v>
      </c>
      <c r="AC34" s="466">
        <f t="shared" si="22"/>
        <v>4.58460216790307</v>
      </c>
    </row>
    <row r="35" spans="1:29">
      <c r="A35" s="444" t="s">
        <v>12</v>
      </c>
      <c r="B35" s="234">
        <f>'Summarize-ForReg(2030)'!AP65</f>
        <v>132.56</v>
      </c>
      <c r="C35" s="161">
        <f t="shared" si="7"/>
        <v>132.56</v>
      </c>
      <c r="D35" s="163"/>
      <c r="E35" s="460">
        <f t="shared" si="8"/>
        <v>132.56</v>
      </c>
      <c r="F35" s="460">
        <f t="shared" si="9"/>
        <v>132.56</v>
      </c>
      <c r="G35" s="458"/>
      <c r="H35" s="458"/>
      <c r="J35" s="444" t="s">
        <v>12</v>
      </c>
      <c r="K35" s="465">
        <f t="shared" si="11"/>
        <v>294.801965526383</v>
      </c>
      <c r="L35" s="465">
        <f t="shared" si="12"/>
        <v>4.83281910698989</v>
      </c>
      <c r="M35" s="465"/>
      <c r="N35" s="465">
        <f t="shared" si="13"/>
        <v>488.114729805979</v>
      </c>
      <c r="O35" s="465">
        <f t="shared" si="14"/>
        <v>7.73251057118382</v>
      </c>
      <c r="R35" s="444" t="s">
        <v>12</v>
      </c>
      <c r="S35" s="466">
        <f t="shared" si="15"/>
        <v>294.801965526383</v>
      </c>
      <c r="T35" s="466">
        <f t="shared" si="16"/>
        <v>152.440045074336</v>
      </c>
      <c r="U35" s="173"/>
      <c r="V35" s="466">
        <f t="shared" si="17"/>
        <v>4.83281910698989</v>
      </c>
      <c r="W35" s="466">
        <f t="shared" si="18"/>
        <v>2.49901713236617</v>
      </c>
      <c r="X35" s="173"/>
      <c r="Y35" s="466">
        <f t="shared" si="19"/>
        <v>488.114729805979</v>
      </c>
      <c r="Z35" s="466">
        <f t="shared" si="20"/>
        <v>252.400730368983</v>
      </c>
      <c r="AA35" s="466"/>
      <c r="AB35" s="466">
        <f t="shared" si="21"/>
        <v>7.73251057118382</v>
      </c>
      <c r="AC35" s="466">
        <f t="shared" si="22"/>
        <v>3.99842741178587</v>
      </c>
    </row>
    <row r="36" spans="1:29">
      <c r="A36" s="444" t="s">
        <v>13</v>
      </c>
      <c r="B36" s="234">
        <f>'Summarize-ForReg(2030)'!AP66</f>
        <v>175.19</v>
      </c>
      <c r="C36" s="161">
        <f t="shared" si="7"/>
        <v>175.19</v>
      </c>
      <c r="E36" s="460">
        <f t="shared" si="8"/>
        <v>175.19</v>
      </c>
      <c r="F36" s="460">
        <f t="shared" si="9"/>
        <v>175.19</v>
      </c>
      <c r="J36" s="444" t="s">
        <v>13</v>
      </c>
      <c r="K36" s="465">
        <f t="shared" si="11"/>
        <v>628.127230432263</v>
      </c>
      <c r="L36" s="465">
        <f t="shared" si="12"/>
        <v>9.4455222621393</v>
      </c>
      <c r="M36" s="465"/>
      <c r="N36" s="465">
        <f t="shared" si="13"/>
        <v>864.265286985746</v>
      </c>
      <c r="O36" s="465">
        <f t="shared" si="14"/>
        <v>13.223731166995</v>
      </c>
      <c r="R36" s="444" t="s">
        <v>13</v>
      </c>
      <c r="S36" s="466">
        <f t="shared" si="15"/>
        <v>628.127230432263</v>
      </c>
      <c r="T36" s="466">
        <f t="shared" si="16"/>
        <v>365.056899307667</v>
      </c>
      <c r="U36" s="173"/>
      <c r="V36" s="466">
        <f t="shared" si="17"/>
        <v>9.4455222621393</v>
      </c>
      <c r="W36" s="466">
        <f t="shared" si="18"/>
        <v>5.489577433198</v>
      </c>
      <c r="X36" s="173"/>
      <c r="Y36" s="466">
        <f t="shared" si="19"/>
        <v>864.265286985746</v>
      </c>
      <c r="Z36" s="466">
        <f t="shared" si="20"/>
        <v>502.296335137617</v>
      </c>
      <c r="AA36" s="466"/>
      <c r="AB36" s="466">
        <f t="shared" si="21"/>
        <v>13.223731166995</v>
      </c>
      <c r="AC36" s="466">
        <f t="shared" si="22"/>
        <v>7.6854084064772</v>
      </c>
    </row>
    <row r="37" spans="1:29">
      <c r="A37" s="443" t="s">
        <v>14</v>
      </c>
      <c r="B37" s="234">
        <f>'Summari-ForCount (2030)'!AR61</f>
        <v>135.34</v>
      </c>
      <c r="C37" s="161">
        <f t="shared" si="7"/>
        <v>135.34</v>
      </c>
      <c r="E37" s="460">
        <f t="shared" si="8"/>
        <v>135.34</v>
      </c>
      <c r="F37" s="460">
        <f t="shared" si="9"/>
        <v>135.34</v>
      </c>
      <c r="J37" s="443" t="s">
        <v>14</v>
      </c>
      <c r="K37" s="465">
        <f t="shared" si="11"/>
        <v>498.866842240706</v>
      </c>
      <c r="L37" s="465">
        <f t="shared" si="12"/>
        <v>6.83379235946172</v>
      </c>
      <c r="M37" s="465"/>
      <c r="N37" s="465">
        <f t="shared" si="13"/>
        <v>382.692372129856</v>
      </c>
      <c r="O37" s="465">
        <f t="shared" si="14"/>
        <v>5.46703388756938</v>
      </c>
      <c r="R37" s="443" t="s">
        <v>14</v>
      </c>
      <c r="S37" s="466">
        <f t="shared" si="15"/>
        <v>498.866842240706</v>
      </c>
      <c r="T37" s="466">
        <f t="shared" si="16"/>
        <v>411.637873208655</v>
      </c>
      <c r="U37" s="173"/>
      <c r="V37" s="430">
        <f t="shared" si="17"/>
        <v>6.83379235946172</v>
      </c>
      <c r="W37" s="430">
        <f t="shared" si="18"/>
        <v>5.63887497546102</v>
      </c>
      <c r="X37" s="173"/>
      <c r="Y37" s="466">
        <f t="shared" si="19"/>
        <v>382.692372129856</v>
      </c>
      <c r="Z37" s="466">
        <f t="shared" si="20"/>
        <v>315.776998625817</v>
      </c>
      <c r="AA37" s="466"/>
      <c r="AB37" s="466">
        <f t="shared" si="21"/>
        <v>5.46703388756938</v>
      </c>
      <c r="AC37" s="466">
        <f t="shared" si="22"/>
        <v>4.51109998036882</v>
      </c>
    </row>
    <row r="39" spans="1:6">
      <c r="A39" s="442"/>
      <c r="B39" s="14" t="s">
        <v>15</v>
      </c>
      <c r="C39" s="14" t="s">
        <v>15</v>
      </c>
      <c r="D39" s="459"/>
      <c r="E39" s="14" t="s">
        <v>15</v>
      </c>
      <c r="F39" s="14" t="s">
        <v>15</v>
      </c>
    </row>
    <row r="40" spans="1:15">
      <c r="A40" s="442"/>
      <c r="B40" s="14" t="s">
        <v>21</v>
      </c>
      <c r="C40" s="459">
        <v>2050</v>
      </c>
      <c r="D40" s="459"/>
      <c r="E40" s="14">
        <v>2050</v>
      </c>
      <c r="F40" s="459">
        <v>2050</v>
      </c>
      <c r="K40" s="14" t="s">
        <v>21</v>
      </c>
      <c r="L40" s="459">
        <v>2050</v>
      </c>
      <c r="M40" s="459"/>
      <c r="N40" s="14">
        <v>2050</v>
      </c>
      <c r="O40" s="459">
        <v>2050</v>
      </c>
    </row>
    <row r="41" spans="1:15">
      <c r="A41" s="442" t="s">
        <v>6</v>
      </c>
      <c r="B41" s="234">
        <f>'Summari-ForCount (Current&amp;2050)'!AB95</f>
        <v>1091.41</v>
      </c>
      <c r="C41" s="161">
        <f t="shared" ref="C41:C49" si="23">B41</f>
        <v>1091.41</v>
      </c>
      <c r="D41" s="161"/>
      <c r="E41" s="460">
        <f t="shared" ref="E41:E49" si="24">B41</f>
        <v>1091.41</v>
      </c>
      <c r="F41" s="460">
        <f t="shared" ref="F41:F49" si="25">C41</f>
        <v>1091.41</v>
      </c>
      <c r="K41" s="465">
        <f t="shared" ref="K41:O41" si="26">B5*(0.8)^(LOG((B41/B17),2))</f>
        <v>476.62090316884</v>
      </c>
      <c r="L41" s="465">
        <f t="shared" si="26"/>
        <v>7.62593445070144</v>
      </c>
      <c r="M41" s="465"/>
      <c r="N41" s="465">
        <f t="shared" si="26"/>
        <v>629.139592182869</v>
      </c>
      <c r="O41" s="465">
        <f t="shared" si="26"/>
        <v>8.89692352581835</v>
      </c>
    </row>
    <row r="42" spans="1:15">
      <c r="A42" s="442" t="s">
        <v>7</v>
      </c>
      <c r="B42" s="234">
        <f>'Summari-ForCount (Current&amp;2050)'!AB97</f>
        <v>2057.92</v>
      </c>
      <c r="C42" s="161">
        <f t="shared" si="23"/>
        <v>2057.92</v>
      </c>
      <c r="D42" s="161"/>
      <c r="E42" s="460">
        <f t="shared" si="24"/>
        <v>2057.92</v>
      </c>
      <c r="F42" s="460">
        <f t="shared" si="25"/>
        <v>2057.92</v>
      </c>
      <c r="K42" s="465">
        <f t="shared" ref="K42:K49" si="27">B6*(0.8)^(LOG((B42/B18),2))</f>
        <v>497.136526441659</v>
      </c>
      <c r="L42" s="465">
        <f t="shared" ref="L42:O42" si="28">C6*(0.8)^(LOG((C42/C18),2))</f>
        <v>7.16593191267257</v>
      </c>
      <c r="M42" s="465"/>
      <c r="N42" s="465">
        <f t="shared" si="28"/>
        <v>1549.63277611544</v>
      </c>
      <c r="O42" s="465">
        <f t="shared" si="28"/>
        <v>23.2892787161858</v>
      </c>
    </row>
    <row r="43" spans="1:15">
      <c r="A43" s="442" t="s">
        <v>8</v>
      </c>
      <c r="B43" s="234">
        <f>'Summari-ForCount (Current&amp;2050)'!AB101</f>
        <v>222.41</v>
      </c>
      <c r="C43" s="161">
        <f t="shared" si="23"/>
        <v>222.41</v>
      </c>
      <c r="D43" s="364"/>
      <c r="E43" s="460">
        <f t="shared" si="24"/>
        <v>222.41</v>
      </c>
      <c r="F43" s="460">
        <f t="shared" si="25"/>
        <v>222.41</v>
      </c>
      <c r="K43" s="465">
        <f t="shared" si="27"/>
        <v>1490.61725608848</v>
      </c>
      <c r="L43" s="465">
        <f t="shared" ref="L43:O43" si="29">C7*(0.8)^(LOG((C43/C19),2))</f>
        <v>22.200682537488</v>
      </c>
      <c r="M43" s="465"/>
      <c r="N43" s="465">
        <f t="shared" si="29"/>
        <v>1466.8308105126</v>
      </c>
      <c r="O43" s="465">
        <f t="shared" si="29"/>
        <v>22.200682537488</v>
      </c>
    </row>
    <row r="44" spans="1:15">
      <c r="A44" s="442" t="s">
        <v>9</v>
      </c>
      <c r="B44" s="234">
        <f>'Summari-ForCount (Current&amp;2050)'!AB98</f>
        <v>19.87</v>
      </c>
      <c r="C44" s="161">
        <f t="shared" si="23"/>
        <v>19.87</v>
      </c>
      <c r="D44" s="364"/>
      <c r="E44" s="460">
        <f t="shared" si="24"/>
        <v>19.87</v>
      </c>
      <c r="F44" s="460">
        <f t="shared" si="25"/>
        <v>19.87</v>
      </c>
      <c r="K44" s="465">
        <f t="shared" si="27"/>
        <v>609.11355885838</v>
      </c>
      <c r="L44" s="465">
        <f t="shared" ref="L44:O44" si="30">C8*(0.8)^(LOG((C44/C20),2))</f>
        <v>8.77123524756066</v>
      </c>
      <c r="M44" s="465"/>
      <c r="N44" s="465">
        <f t="shared" si="30"/>
        <v>784.538263809593</v>
      </c>
      <c r="O44" s="465">
        <f t="shared" si="30"/>
        <v>11.6949803300809</v>
      </c>
    </row>
    <row r="45" spans="1:15">
      <c r="A45" s="442" t="s">
        <v>10</v>
      </c>
      <c r="B45" s="234">
        <f>'Summari-ForCount (Current&amp;2050)'!AB99</f>
        <v>9597.53</v>
      </c>
      <c r="C45" s="161">
        <f t="shared" si="23"/>
        <v>9597.53</v>
      </c>
      <c r="D45" s="161"/>
      <c r="E45" s="460">
        <f t="shared" si="24"/>
        <v>9597.53</v>
      </c>
      <c r="F45" s="460">
        <f t="shared" si="25"/>
        <v>9597.53</v>
      </c>
      <c r="K45" s="465">
        <f t="shared" si="27"/>
        <v>286.849430038028</v>
      </c>
      <c r="L45" s="465">
        <f t="shared" ref="L45:O45" si="31">C9*(0.8)^(LOG((C45/C21),2))</f>
        <v>5.13760173202438</v>
      </c>
      <c r="M45" s="465"/>
      <c r="N45" s="465">
        <f t="shared" si="31"/>
        <v>321.100108251524</v>
      </c>
      <c r="O45" s="465">
        <f t="shared" si="31"/>
        <v>5.99386868736177</v>
      </c>
    </row>
    <row r="46" spans="1:15">
      <c r="A46" s="442" t="s">
        <v>11</v>
      </c>
      <c r="B46" s="234">
        <f>'Summari-ForCount (Current&amp;2050)'!AB100</f>
        <v>1882.45</v>
      </c>
      <c r="C46" s="161">
        <f t="shared" si="23"/>
        <v>1882.45</v>
      </c>
      <c r="D46" s="161"/>
      <c r="E46" s="460">
        <f t="shared" si="24"/>
        <v>1882.45</v>
      </c>
      <c r="F46" s="460">
        <f t="shared" si="25"/>
        <v>1882.45</v>
      </c>
      <c r="K46" s="465">
        <f t="shared" si="27"/>
        <v>271.255628267598</v>
      </c>
      <c r="L46" s="465">
        <f t="shared" ref="L46:O46" si="32">C10*(0.8)^(LOG((C46/C22),2))</f>
        <v>3.82050180658589</v>
      </c>
      <c r="M46" s="465"/>
      <c r="N46" s="465">
        <f t="shared" si="32"/>
        <v>297.999140913699</v>
      </c>
      <c r="O46" s="465">
        <f t="shared" si="32"/>
        <v>4.58460216790307</v>
      </c>
    </row>
    <row r="47" spans="1:15">
      <c r="A47" s="444" t="s">
        <v>12</v>
      </c>
      <c r="B47" s="234">
        <f>'Summarize-ForReg(Current&amp;2050)'!AQ65</f>
        <v>1028.37</v>
      </c>
      <c r="C47" s="161">
        <f t="shared" si="23"/>
        <v>1028.37</v>
      </c>
      <c r="D47" s="163"/>
      <c r="E47" s="460">
        <f t="shared" si="24"/>
        <v>1028.37</v>
      </c>
      <c r="F47" s="460">
        <f t="shared" si="25"/>
        <v>1028.37</v>
      </c>
      <c r="K47" s="465">
        <f t="shared" si="27"/>
        <v>152.440045074336</v>
      </c>
      <c r="L47" s="465">
        <f t="shared" ref="L47:O47" si="33">C11*(0.8)^(LOG((C47/C23),2))</f>
        <v>2.49901713236617</v>
      </c>
      <c r="M47" s="465"/>
      <c r="N47" s="465">
        <f t="shared" si="33"/>
        <v>252.400730368983</v>
      </c>
      <c r="O47" s="465">
        <f t="shared" si="33"/>
        <v>3.99842741178587</v>
      </c>
    </row>
    <row r="48" spans="1:15">
      <c r="A48" s="444" t="s">
        <v>13</v>
      </c>
      <c r="B48" s="234">
        <f>'Summarize-ForReg(Current&amp;2050)'!AQ66</f>
        <v>945.41</v>
      </c>
      <c r="C48" s="161">
        <f t="shared" si="23"/>
        <v>945.41</v>
      </c>
      <c r="E48" s="460">
        <f t="shared" si="24"/>
        <v>945.41</v>
      </c>
      <c r="F48" s="460">
        <f t="shared" si="25"/>
        <v>945.41</v>
      </c>
      <c r="K48" s="465">
        <f t="shared" si="27"/>
        <v>365.056899307667</v>
      </c>
      <c r="L48" s="465">
        <f t="shared" ref="L48:O48" si="34">C12*(0.8)^(LOG((C48/C24),2))</f>
        <v>5.489577433198</v>
      </c>
      <c r="M48" s="465"/>
      <c r="N48" s="465">
        <f t="shared" si="34"/>
        <v>502.296335137617</v>
      </c>
      <c r="O48" s="465">
        <f t="shared" si="34"/>
        <v>7.6854084064772</v>
      </c>
    </row>
    <row r="49" spans="1:15">
      <c r="A49" s="443" t="s">
        <v>14</v>
      </c>
      <c r="B49" s="234">
        <f>'Summari-ForCount (Current&amp;2050)'!AB96</f>
        <v>245.87</v>
      </c>
      <c r="C49" s="161">
        <f t="shared" si="23"/>
        <v>245.87</v>
      </c>
      <c r="E49" s="460">
        <f t="shared" si="24"/>
        <v>245.87</v>
      </c>
      <c r="F49" s="460">
        <f t="shared" si="25"/>
        <v>245.87</v>
      </c>
      <c r="K49" s="465">
        <f t="shared" si="27"/>
        <v>411.637873208655</v>
      </c>
      <c r="L49" s="465">
        <f t="shared" ref="L49:O49" si="35">C13*(0.8)^(LOG((C49/C25),2))</f>
        <v>5.63887497546102</v>
      </c>
      <c r="M49" s="465"/>
      <c r="N49" s="465">
        <f t="shared" si="35"/>
        <v>315.776998625817</v>
      </c>
      <c r="O49" s="465">
        <f t="shared" si="35"/>
        <v>4.51109998036882</v>
      </c>
    </row>
  </sheetData>
  <mergeCells count="15">
    <mergeCell ref="K3:P3"/>
    <mergeCell ref="S26:T26"/>
    <mergeCell ref="S27:T27"/>
    <mergeCell ref="V27:W27"/>
    <mergeCell ref="Y27:Z27"/>
    <mergeCell ref="AB27:AC27"/>
    <mergeCell ref="B1:B2"/>
    <mergeCell ref="C1:C2"/>
    <mergeCell ref="E1:E2"/>
    <mergeCell ref="F1:F2"/>
    <mergeCell ref="K26:K27"/>
    <mergeCell ref="L26:L27"/>
    <mergeCell ref="N26:N27"/>
    <mergeCell ref="O26:O27"/>
    <mergeCell ref="K1:R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9"/>
  <sheetViews>
    <sheetView zoomScale="53" zoomScaleNormal="53" topLeftCell="I1" workbookViewId="0">
      <selection activeCell="L11" sqref="L11"/>
    </sheetView>
  </sheetViews>
  <sheetFormatPr defaultColWidth="8.72727272727273" defaultRowHeight="14.5"/>
  <cols>
    <col min="1" max="1" width="31.8181818181818" customWidth="1"/>
    <col min="11" max="12" width="12.8181818181818"/>
    <col min="18" max="18" width="14.5454545454545" customWidth="1"/>
    <col min="19" max="20" width="12.8181818181818"/>
    <col min="22" max="23" width="12.8181818181818"/>
    <col min="25" max="26" width="12.8181818181818"/>
    <col min="28" max="29" width="12.8181818181818"/>
  </cols>
  <sheetData>
    <row r="1" spans="1:22">
      <c r="A1" s="448"/>
      <c r="B1" s="449" t="s">
        <v>0</v>
      </c>
      <c r="C1" s="449" t="s">
        <v>1</v>
      </c>
      <c r="D1" s="450"/>
      <c r="E1" s="449" t="s">
        <v>2</v>
      </c>
      <c r="F1" s="449" t="s">
        <v>3</v>
      </c>
      <c r="G1" s="451"/>
      <c r="H1" s="451"/>
      <c r="K1" s="461" t="s">
        <v>22</v>
      </c>
      <c r="L1" s="461"/>
      <c r="M1" s="461"/>
      <c r="N1" s="461"/>
      <c r="O1" s="461"/>
      <c r="P1" s="461"/>
      <c r="Q1" s="461"/>
      <c r="R1" s="461"/>
      <c r="U1" s="463" t="s">
        <v>23</v>
      </c>
      <c r="V1" s="463"/>
    </row>
    <row r="2" spans="1:22">
      <c r="A2" s="448"/>
      <c r="B2" s="452"/>
      <c r="C2" s="452"/>
      <c r="D2" s="453"/>
      <c r="E2" s="452"/>
      <c r="F2" s="452"/>
      <c r="G2" s="454"/>
      <c r="H2" s="454"/>
      <c r="K2" s="461"/>
      <c r="L2" s="461"/>
      <c r="M2" s="461"/>
      <c r="N2" s="461"/>
      <c r="O2" s="461"/>
      <c r="P2" s="461"/>
      <c r="Q2" s="461"/>
      <c r="R2" s="461"/>
      <c r="U2" s="464"/>
      <c r="V2" s="464"/>
    </row>
    <row r="3" spans="1:22">
      <c r="A3" s="455"/>
      <c r="B3" s="456">
        <v>2022</v>
      </c>
      <c r="C3" s="456">
        <v>2022</v>
      </c>
      <c r="D3" s="456"/>
      <c r="E3" s="457">
        <v>2022</v>
      </c>
      <c r="F3" s="456">
        <v>2022</v>
      </c>
      <c r="G3" s="456"/>
      <c r="H3" s="456"/>
      <c r="U3" s="456">
        <v>2030</v>
      </c>
      <c r="V3" s="456">
        <v>2050</v>
      </c>
    </row>
    <row r="4" spans="1:22">
      <c r="A4" s="158"/>
      <c r="B4" s="159"/>
      <c r="C4" s="159"/>
      <c r="D4" s="159"/>
      <c r="E4" s="159"/>
      <c r="G4" s="159"/>
      <c r="H4" s="159"/>
      <c r="U4" s="159"/>
      <c r="V4" s="159"/>
    </row>
    <row r="5" spans="1:22">
      <c r="A5" s="442" t="s">
        <v>6</v>
      </c>
      <c r="B5" s="364">
        <v>990</v>
      </c>
      <c r="C5" s="364">
        <v>14</v>
      </c>
      <c r="D5" s="364"/>
      <c r="E5" s="161">
        <v>1320</v>
      </c>
      <c r="F5" s="161">
        <v>20</v>
      </c>
      <c r="G5" s="364"/>
      <c r="H5" s="364"/>
      <c r="T5" t="s">
        <v>24</v>
      </c>
      <c r="U5" s="364">
        <v>14</v>
      </c>
      <c r="V5" s="364">
        <v>12</v>
      </c>
    </row>
    <row r="6" spans="1:22">
      <c r="A6" s="442" t="s">
        <v>7</v>
      </c>
      <c r="B6" s="161">
        <v>1120</v>
      </c>
      <c r="C6" s="161">
        <v>16</v>
      </c>
      <c r="D6" s="161"/>
      <c r="E6" s="161">
        <v>3490</v>
      </c>
      <c r="F6" s="161">
        <v>52</v>
      </c>
      <c r="G6" s="161"/>
      <c r="H6" s="161"/>
      <c r="U6" s="459">
        <v>16</v>
      </c>
      <c r="V6" s="459">
        <v>16</v>
      </c>
    </row>
    <row r="7" spans="1:22">
      <c r="A7" s="442" t="s">
        <v>8</v>
      </c>
      <c r="B7" s="364">
        <v>1910</v>
      </c>
      <c r="C7" s="364">
        <v>28</v>
      </c>
      <c r="D7" s="364"/>
      <c r="E7" s="161">
        <v>1880</v>
      </c>
      <c r="F7" s="161">
        <v>28</v>
      </c>
      <c r="G7" s="364"/>
      <c r="H7" s="364"/>
      <c r="U7" s="364">
        <v>24</v>
      </c>
      <c r="V7" s="364">
        <v>22</v>
      </c>
    </row>
    <row r="8" spans="1:22">
      <c r="A8" s="442" t="s">
        <v>9</v>
      </c>
      <c r="B8" s="161">
        <v>1710</v>
      </c>
      <c r="C8" s="161">
        <v>26</v>
      </c>
      <c r="D8" s="161"/>
      <c r="E8" s="161">
        <v>2210</v>
      </c>
      <c r="F8" s="161">
        <v>34</v>
      </c>
      <c r="G8" s="161"/>
      <c r="H8" s="161"/>
      <c r="U8" s="161">
        <v>22</v>
      </c>
      <c r="V8" s="161">
        <v>22</v>
      </c>
    </row>
    <row r="9" spans="1:22">
      <c r="A9" s="442" t="s">
        <v>10</v>
      </c>
      <c r="B9" s="161">
        <v>720</v>
      </c>
      <c r="C9" s="161">
        <v>12</v>
      </c>
      <c r="D9" s="161"/>
      <c r="E9" s="364">
        <v>800</v>
      </c>
      <c r="F9" s="364">
        <v>14</v>
      </c>
      <c r="G9" s="161"/>
      <c r="H9" s="161"/>
      <c r="U9" s="161">
        <v>10</v>
      </c>
      <c r="V9" s="161">
        <v>10</v>
      </c>
    </row>
    <row r="10" spans="1:22">
      <c r="A10" s="442" t="s">
        <v>11</v>
      </c>
      <c r="B10" s="161">
        <v>640</v>
      </c>
      <c r="C10" s="161">
        <v>10</v>
      </c>
      <c r="D10" s="161"/>
      <c r="E10" s="364">
        <v>700</v>
      </c>
      <c r="F10" s="364">
        <v>10</v>
      </c>
      <c r="G10" s="161"/>
      <c r="H10" s="161"/>
      <c r="U10" s="161">
        <v>8</v>
      </c>
      <c r="V10" s="161">
        <v>8</v>
      </c>
    </row>
    <row r="11" spans="1:22">
      <c r="A11" s="444" t="s">
        <v>12</v>
      </c>
      <c r="B11" s="161">
        <v>620</v>
      </c>
      <c r="C11" s="161">
        <v>10</v>
      </c>
      <c r="D11" s="161"/>
      <c r="E11" s="161">
        <v>1020</v>
      </c>
      <c r="F11" s="161">
        <v>16</v>
      </c>
      <c r="G11" s="161"/>
      <c r="H11" s="161"/>
      <c r="U11" s="161">
        <v>8</v>
      </c>
      <c r="V11" s="161">
        <v>8</v>
      </c>
    </row>
    <row r="12" spans="1:22">
      <c r="A12" s="444" t="s">
        <v>13</v>
      </c>
      <c r="B12" s="161">
        <v>1420</v>
      </c>
      <c r="C12" s="161">
        <v>22</v>
      </c>
      <c r="D12" s="161"/>
      <c r="E12" s="161">
        <v>1970</v>
      </c>
      <c r="F12" s="161">
        <v>30</v>
      </c>
      <c r="G12" s="161"/>
      <c r="H12" s="161"/>
      <c r="U12" s="161">
        <v>18</v>
      </c>
      <c r="V12" s="161">
        <v>18</v>
      </c>
    </row>
    <row r="13" spans="1:22">
      <c r="A13" s="443" t="s">
        <v>14</v>
      </c>
      <c r="B13" s="163">
        <v>750</v>
      </c>
      <c r="C13" s="458">
        <v>12</v>
      </c>
      <c r="D13" s="163"/>
      <c r="E13" s="163">
        <v>580</v>
      </c>
      <c r="F13" s="458">
        <v>8</v>
      </c>
      <c r="G13" s="458"/>
      <c r="H13" s="458"/>
      <c r="U13" s="462">
        <v>10</v>
      </c>
      <c r="V13" s="462">
        <v>10</v>
      </c>
    </row>
    <row r="14" spans="1:22">
      <c r="A14" s="158"/>
      <c r="B14" s="159"/>
      <c r="C14" s="159"/>
      <c r="D14" s="159"/>
      <c r="E14" s="159"/>
      <c r="F14" s="159"/>
      <c r="G14" s="159"/>
      <c r="H14" s="159"/>
      <c r="U14" s="159"/>
      <c r="V14" s="159"/>
    </row>
    <row r="15" spans="1:22">
      <c r="A15" s="442"/>
      <c r="B15" s="14" t="s">
        <v>15</v>
      </c>
      <c r="C15" s="14" t="s">
        <v>15</v>
      </c>
      <c r="D15" s="459"/>
      <c r="E15" s="14" t="s">
        <v>15</v>
      </c>
      <c r="F15" s="14" t="s">
        <v>15</v>
      </c>
      <c r="G15" s="459"/>
      <c r="H15" s="459"/>
      <c r="T15" t="s">
        <v>25</v>
      </c>
      <c r="U15" s="364">
        <v>18</v>
      </c>
      <c r="V15" s="364">
        <v>14</v>
      </c>
    </row>
    <row r="16" spans="1:22">
      <c r="A16" s="442"/>
      <c r="B16" s="14">
        <v>2022</v>
      </c>
      <c r="C16" s="459">
        <v>2022</v>
      </c>
      <c r="D16" s="459"/>
      <c r="E16" s="14">
        <v>2022</v>
      </c>
      <c r="F16" s="459">
        <v>2022</v>
      </c>
      <c r="G16" s="459"/>
      <c r="H16" s="459"/>
      <c r="U16" s="364">
        <v>46</v>
      </c>
      <c r="V16" s="364">
        <v>44</v>
      </c>
    </row>
    <row r="17" spans="1:22">
      <c r="A17" s="442" t="s">
        <v>6</v>
      </c>
      <c r="B17" s="234">
        <f>'Summari-ForCount (2030)'!AO60</f>
        <v>266.93</v>
      </c>
      <c r="C17" s="161">
        <f t="shared" ref="C17:C25" si="0">B17</f>
        <v>266.93</v>
      </c>
      <c r="D17" s="161"/>
      <c r="E17" s="460">
        <f t="shared" ref="E17:E25" si="1">B17</f>
        <v>266.93</v>
      </c>
      <c r="F17" s="460">
        <f t="shared" ref="F17:F25" si="2">C17</f>
        <v>266.93</v>
      </c>
      <c r="G17" s="161"/>
      <c r="H17" s="161"/>
      <c r="U17" s="364">
        <v>24</v>
      </c>
      <c r="V17" s="364">
        <v>22</v>
      </c>
    </row>
    <row r="18" spans="1:22">
      <c r="A18" s="442" t="s">
        <v>7</v>
      </c>
      <c r="B18" s="234">
        <f>'Summari-ForCount (2030)'!AO62</f>
        <v>169.75</v>
      </c>
      <c r="C18" s="161">
        <f t="shared" si="0"/>
        <v>169.75</v>
      </c>
      <c r="D18" s="161"/>
      <c r="E18" s="460">
        <f t="shared" si="1"/>
        <v>169.75</v>
      </c>
      <c r="F18" s="460">
        <f t="shared" si="2"/>
        <v>169.75</v>
      </c>
      <c r="G18" s="161"/>
      <c r="H18" s="161"/>
      <c r="U18" s="364">
        <v>30</v>
      </c>
      <c r="V18" s="364">
        <v>28</v>
      </c>
    </row>
    <row r="19" spans="1:22">
      <c r="A19" s="442" t="s">
        <v>8</v>
      </c>
      <c r="B19" s="234">
        <f>'Summari-ForCount (2030)'!AO66</f>
        <v>108.16</v>
      </c>
      <c r="C19" s="161">
        <f t="shared" si="0"/>
        <v>108.16</v>
      </c>
      <c r="D19" s="364"/>
      <c r="E19" s="460">
        <f t="shared" si="1"/>
        <v>108.16</v>
      </c>
      <c r="F19" s="460">
        <f t="shared" si="2"/>
        <v>108.16</v>
      </c>
      <c r="G19" s="364"/>
      <c r="H19" s="364"/>
      <c r="U19" s="364">
        <v>10</v>
      </c>
      <c r="V19" s="364">
        <v>10</v>
      </c>
    </row>
    <row r="20" spans="1:22">
      <c r="A20" s="442" t="s">
        <v>9</v>
      </c>
      <c r="B20" s="234">
        <f>'Summari-ForCount (2030)'!AO63</f>
        <v>2.13</v>
      </c>
      <c r="C20" s="161">
        <f t="shared" si="0"/>
        <v>2.13</v>
      </c>
      <c r="D20" s="364"/>
      <c r="E20" s="460">
        <f t="shared" si="1"/>
        <v>2.13</v>
      </c>
      <c r="F20" s="460">
        <f t="shared" si="2"/>
        <v>2.13</v>
      </c>
      <c r="G20" s="364"/>
      <c r="H20" s="364"/>
      <c r="U20" s="364">
        <v>10</v>
      </c>
      <c r="V20" s="364">
        <v>8</v>
      </c>
    </row>
    <row r="21" spans="1:22">
      <c r="A21" s="442" t="s">
        <v>10</v>
      </c>
      <c r="B21" s="234">
        <f>'Summari-ForCount (2030)'!AO64</f>
        <v>688.24</v>
      </c>
      <c r="C21" s="161">
        <f t="shared" si="0"/>
        <v>688.24</v>
      </c>
      <c r="D21" s="161"/>
      <c r="E21" s="460">
        <f t="shared" si="1"/>
        <v>688.24</v>
      </c>
      <c r="F21" s="460">
        <f t="shared" si="2"/>
        <v>688.24</v>
      </c>
      <c r="G21" s="161"/>
      <c r="H21" s="161"/>
      <c r="U21" s="364">
        <v>14</v>
      </c>
      <c r="V21" s="364">
        <v>12</v>
      </c>
    </row>
    <row r="22" spans="1:22">
      <c r="A22" s="442" t="s">
        <v>11</v>
      </c>
      <c r="B22" s="234">
        <f>'Summari-ForCount (2030)'!AO65</f>
        <v>94.77</v>
      </c>
      <c r="C22" s="161">
        <f t="shared" si="0"/>
        <v>94.77</v>
      </c>
      <c r="D22" s="161"/>
      <c r="E22" s="460">
        <f t="shared" si="1"/>
        <v>94.77</v>
      </c>
      <c r="F22" s="460">
        <f t="shared" si="2"/>
        <v>94.77</v>
      </c>
      <c r="G22" s="161"/>
      <c r="H22" s="161"/>
      <c r="U22" s="364">
        <v>26</v>
      </c>
      <c r="V22" s="364">
        <v>24</v>
      </c>
    </row>
    <row r="23" spans="1:22">
      <c r="A23" s="444" t="s">
        <v>12</v>
      </c>
      <c r="B23" s="234">
        <f>'Summarize-ForReg(Current&amp;2050)'!AL65</f>
        <v>13.85</v>
      </c>
      <c r="C23" s="161">
        <f t="shared" si="0"/>
        <v>13.85</v>
      </c>
      <c r="D23" s="163"/>
      <c r="E23" s="460">
        <f t="shared" si="1"/>
        <v>13.85</v>
      </c>
      <c r="F23" s="460">
        <f t="shared" si="2"/>
        <v>13.85</v>
      </c>
      <c r="G23" s="458"/>
      <c r="H23" s="458"/>
      <c r="U23" s="458">
        <v>8</v>
      </c>
      <c r="V23" s="458">
        <v>8</v>
      </c>
    </row>
    <row r="24" spans="1:6">
      <c r="A24" s="444" t="s">
        <v>13</v>
      </c>
      <c r="B24" s="234">
        <f>'Summarize-ForReg(Current&amp;2050)'!AL66</f>
        <v>17.04</v>
      </c>
      <c r="C24" s="161">
        <f t="shared" si="0"/>
        <v>17.04</v>
      </c>
      <c r="E24" s="460">
        <f t="shared" si="1"/>
        <v>17.04</v>
      </c>
      <c r="F24" s="460">
        <f t="shared" si="2"/>
        <v>17.04</v>
      </c>
    </row>
    <row r="25" spans="1:6">
      <c r="A25" s="443" t="s">
        <v>14</v>
      </c>
      <c r="B25" s="234">
        <f>'Summari-ForCount (2030)'!AO61</f>
        <v>41.48</v>
      </c>
      <c r="C25" s="161">
        <f t="shared" si="0"/>
        <v>41.48</v>
      </c>
      <c r="E25" s="460">
        <f t="shared" si="1"/>
        <v>41.48</v>
      </c>
      <c r="F25" s="460">
        <f t="shared" si="2"/>
        <v>41.48</v>
      </c>
    </row>
    <row r="26" spans="11:29">
      <c r="K26" s="449" t="s">
        <v>0</v>
      </c>
      <c r="L26" s="449" t="s">
        <v>1</v>
      </c>
      <c r="M26" s="450"/>
      <c r="N26" s="449" t="s">
        <v>2</v>
      </c>
      <c r="O26" s="449" t="s">
        <v>3</v>
      </c>
      <c r="S26" s="387" t="s">
        <v>16</v>
      </c>
      <c r="T26" s="387"/>
      <c r="U26" s="173"/>
      <c r="V26" s="173"/>
      <c r="W26" s="173"/>
      <c r="X26" s="173"/>
      <c r="Y26" s="173"/>
      <c r="Z26" s="173"/>
      <c r="AA26" s="173"/>
      <c r="AB26" s="173"/>
      <c r="AC26" s="173"/>
    </row>
    <row r="27" spans="1:29">
      <c r="A27" s="442"/>
      <c r="B27" s="14" t="s">
        <v>15</v>
      </c>
      <c r="C27" s="14" t="s">
        <v>15</v>
      </c>
      <c r="D27" s="459"/>
      <c r="E27" s="14" t="s">
        <v>15</v>
      </c>
      <c r="F27" s="14" t="s">
        <v>15</v>
      </c>
      <c r="G27" s="459"/>
      <c r="H27" s="459"/>
      <c r="K27" s="452"/>
      <c r="L27" s="452"/>
      <c r="M27" s="453"/>
      <c r="N27" s="452"/>
      <c r="O27" s="452"/>
      <c r="S27" s="387" t="s">
        <v>0</v>
      </c>
      <c r="T27" s="387"/>
      <c r="U27" s="173"/>
      <c r="V27" s="387" t="s">
        <v>17</v>
      </c>
      <c r="W27" s="387"/>
      <c r="X27" s="173"/>
      <c r="Y27" s="387" t="s">
        <v>18</v>
      </c>
      <c r="Z27" s="387"/>
      <c r="AA27" s="173"/>
      <c r="AB27" s="387" t="s">
        <v>19</v>
      </c>
      <c r="AC27" s="387"/>
    </row>
    <row r="28" spans="1:29">
      <c r="A28" s="442"/>
      <c r="B28" s="14" t="s">
        <v>20</v>
      </c>
      <c r="C28" s="459">
        <v>2030</v>
      </c>
      <c r="D28" s="459"/>
      <c r="E28" s="14">
        <v>2030</v>
      </c>
      <c r="F28" s="459">
        <v>2030</v>
      </c>
      <c r="G28" s="459"/>
      <c r="H28" s="459"/>
      <c r="K28" s="14" t="s">
        <v>20</v>
      </c>
      <c r="L28" s="459">
        <v>2030</v>
      </c>
      <c r="M28" s="459"/>
      <c r="N28" s="14">
        <v>2030</v>
      </c>
      <c r="O28" s="459">
        <v>2030</v>
      </c>
      <c r="S28" s="173" t="str">
        <f t="shared" ref="S28:S37" si="3">K28</f>
        <v>APS-2030</v>
      </c>
      <c r="T28" s="173" t="str">
        <f t="shared" ref="T28:T37" si="4">K40</f>
        <v>APS-2050</v>
      </c>
      <c r="U28" s="173"/>
      <c r="V28" s="173">
        <f>N28</f>
        <v>2030</v>
      </c>
      <c r="W28" s="173">
        <f>N40</f>
        <v>2050</v>
      </c>
      <c r="X28" s="173"/>
      <c r="Y28" s="173"/>
      <c r="Z28" s="173"/>
      <c r="AA28" s="173"/>
      <c r="AB28" s="173"/>
      <c r="AC28" s="173"/>
    </row>
    <row r="29" spans="1:29">
      <c r="A29" s="442" t="s">
        <v>6</v>
      </c>
      <c r="B29" s="234">
        <f>'Summari-ForCount (2030)'!AR60</f>
        <v>746.62</v>
      </c>
      <c r="C29" s="161">
        <f t="shared" ref="C29:C37" si="5">B29</f>
        <v>746.62</v>
      </c>
      <c r="D29" s="161"/>
      <c r="E29" s="460">
        <f t="shared" ref="E29:E37" si="6">B29</f>
        <v>746.62</v>
      </c>
      <c r="F29" s="460">
        <f t="shared" ref="F29:F37" si="7">C29</f>
        <v>746.62</v>
      </c>
      <c r="G29" s="161"/>
      <c r="H29" s="161"/>
      <c r="K29">
        <f t="shared" ref="K29:N29" si="8">B5*(0.8)^(LOG((B29/B17),2))</f>
        <v>710.933854594622</v>
      </c>
      <c r="L29" s="364">
        <v>14</v>
      </c>
      <c r="N29">
        <f t="shared" si="8"/>
        <v>947.911806126163</v>
      </c>
      <c r="O29" s="364">
        <v>18</v>
      </c>
      <c r="R29" s="442" t="s">
        <v>6</v>
      </c>
      <c r="S29" s="173">
        <f t="shared" si="3"/>
        <v>710.933854594622</v>
      </c>
      <c r="T29" s="173">
        <f t="shared" si="4"/>
        <v>629.139592182869</v>
      </c>
      <c r="U29" s="173"/>
      <c r="V29" s="173">
        <f t="shared" ref="V29:V37" si="9">L29</f>
        <v>14</v>
      </c>
      <c r="W29" s="173">
        <f t="shared" ref="W29:W37" si="10">L41</f>
        <v>12</v>
      </c>
      <c r="X29" s="173"/>
      <c r="Y29" s="173">
        <f t="shared" ref="Y29:Y37" si="11">N29</f>
        <v>947.911806126163</v>
      </c>
      <c r="Z29" s="173">
        <f t="shared" ref="Z29:Z37" si="12">N41</f>
        <v>838.852789577159</v>
      </c>
      <c r="AA29" s="173"/>
      <c r="AB29" s="173">
        <f t="shared" ref="AB29:AB37" si="13">O29</f>
        <v>18</v>
      </c>
      <c r="AC29" s="173">
        <f t="shared" ref="AC29:AC37" si="14">O41</f>
        <v>14</v>
      </c>
    </row>
    <row r="30" spans="1:29">
      <c r="A30" s="442" t="s">
        <v>7</v>
      </c>
      <c r="B30" s="234">
        <f>'Summari-ForCount (2030)'!AR62</f>
        <v>719.52</v>
      </c>
      <c r="C30" s="161">
        <f t="shared" si="5"/>
        <v>719.52</v>
      </c>
      <c r="D30" s="161"/>
      <c r="E30" s="460">
        <f t="shared" si="6"/>
        <v>719.52</v>
      </c>
      <c r="F30" s="460">
        <f t="shared" si="7"/>
        <v>719.52</v>
      </c>
      <c r="G30" s="161"/>
      <c r="H30" s="161"/>
      <c r="K30">
        <f t="shared" ref="K30:N30" si="15">B6*(0.8)^(LOG((B30/B18),2))</f>
        <v>703.54854600092</v>
      </c>
      <c r="L30" s="459">
        <v>16</v>
      </c>
      <c r="N30">
        <f t="shared" si="15"/>
        <v>2192.30752280644</v>
      </c>
      <c r="O30" s="364">
        <v>46</v>
      </c>
      <c r="R30" s="442" t="s">
        <v>7</v>
      </c>
      <c r="S30" s="173">
        <f t="shared" si="3"/>
        <v>703.54854600092</v>
      </c>
      <c r="T30" s="173">
        <f t="shared" si="4"/>
        <v>501.61523388708</v>
      </c>
      <c r="U30" s="173"/>
      <c r="V30" s="426">
        <f t="shared" si="9"/>
        <v>16</v>
      </c>
      <c r="W30" s="426">
        <f t="shared" si="10"/>
        <v>16</v>
      </c>
      <c r="X30" s="173"/>
      <c r="Y30" s="173">
        <f t="shared" si="11"/>
        <v>2192.30752280644</v>
      </c>
      <c r="Z30" s="173">
        <f t="shared" si="12"/>
        <v>1563.0688984517</v>
      </c>
      <c r="AA30" s="173"/>
      <c r="AB30" s="173">
        <f t="shared" si="13"/>
        <v>46</v>
      </c>
      <c r="AC30" s="173">
        <f t="shared" si="14"/>
        <v>44</v>
      </c>
    </row>
    <row r="31" spans="1:29">
      <c r="A31" s="442" t="s">
        <v>8</v>
      </c>
      <c r="B31" s="234">
        <f>'Summari-ForCount (2030)'!AR66</f>
        <v>172.08</v>
      </c>
      <c r="C31" s="161">
        <f t="shared" si="5"/>
        <v>172.08</v>
      </c>
      <c r="D31" s="364"/>
      <c r="E31" s="460">
        <f t="shared" si="6"/>
        <v>172.08</v>
      </c>
      <c r="F31" s="460">
        <f t="shared" si="7"/>
        <v>172.08</v>
      </c>
      <c r="G31" s="364"/>
      <c r="H31" s="364"/>
      <c r="K31">
        <f t="shared" ref="K31:N31" si="16">B7*(0.8)^(LOG((B31/B19),2))</f>
        <v>1644.79641395806</v>
      </c>
      <c r="L31" s="364">
        <v>24</v>
      </c>
      <c r="N31">
        <f t="shared" si="16"/>
        <v>1618.9619153095</v>
      </c>
      <c r="O31" s="364">
        <v>24</v>
      </c>
      <c r="R31" s="442" t="s">
        <v>8</v>
      </c>
      <c r="S31" s="173">
        <f t="shared" si="3"/>
        <v>1644.79641395806</v>
      </c>
      <c r="T31" s="173">
        <f t="shared" si="4"/>
        <v>1514.40370166436</v>
      </c>
      <c r="U31" s="173"/>
      <c r="V31" s="173">
        <f t="shared" si="9"/>
        <v>24</v>
      </c>
      <c r="W31" s="173">
        <f t="shared" si="10"/>
        <v>22</v>
      </c>
      <c r="X31" s="173"/>
      <c r="Y31" s="173">
        <f t="shared" si="11"/>
        <v>1618.9619153095</v>
      </c>
      <c r="Z31" s="173">
        <f t="shared" si="12"/>
        <v>1490.61725608848</v>
      </c>
      <c r="AA31" s="173"/>
      <c r="AB31" s="173">
        <f t="shared" si="13"/>
        <v>24</v>
      </c>
      <c r="AC31" s="173">
        <f t="shared" si="14"/>
        <v>22</v>
      </c>
    </row>
    <row r="32" spans="1:29">
      <c r="A32" s="442" t="s">
        <v>9</v>
      </c>
      <c r="B32" s="234">
        <f>'Summari-ForCount (2030)'!AR63</f>
        <v>5.49</v>
      </c>
      <c r="C32" s="161">
        <f t="shared" si="5"/>
        <v>5.49</v>
      </c>
      <c r="D32" s="364"/>
      <c r="E32" s="460">
        <f t="shared" si="6"/>
        <v>5.49</v>
      </c>
      <c r="F32" s="460">
        <f t="shared" si="7"/>
        <v>5.49</v>
      </c>
      <c r="G32" s="364"/>
      <c r="H32" s="364"/>
      <c r="K32">
        <f t="shared" ref="K32:N32" si="17">B8*(0.8)^(LOG((B32/B20),2))</f>
        <v>1260.72862787673</v>
      </c>
      <c r="L32" s="161">
        <v>22</v>
      </c>
      <c r="N32">
        <f t="shared" si="17"/>
        <v>1629.36272959507</v>
      </c>
      <c r="O32" s="364">
        <v>30</v>
      </c>
      <c r="R32" s="442" t="s">
        <v>9</v>
      </c>
      <c r="S32" s="173">
        <f t="shared" si="3"/>
        <v>1260.72862787673</v>
      </c>
      <c r="T32" s="173">
        <f t="shared" si="4"/>
        <v>833.267348518263</v>
      </c>
      <c r="U32" s="173"/>
      <c r="V32" s="173">
        <f t="shared" si="9"/>
        <v>22</v>
      </c>
      <c r="W32" s="173">
        <f t="shared" si="10"/>
        <v>22</v>
      </c>
      <c r="X32" s="173"/>
      <c r="Y32" s="173">
        <f t="shared" si="11"/>
        <v>1629.36272959507</v>
      </c>
      <c r="Z32" s="173">
        <f t="shared" si="12"/>
        <v>1076.91277206161</v>
      </c>
      <c r="AA32" s="173"/>
      <c r="AB32" s="173">
        <f t="shared" si="13"/>
        <v>30</v>
      </c>
      <c r="AC32" s="173">
        <f t="shared" si="14"/>
        <v>28</v>
      </c>
    </row>
    <row r="33" spans="1:29">
      <c r="A33" s="442" t="s">
        <v>10</v>
      </c>
      <c r="B33" s="234">
        <f>'Summari-ForCount (2030)'!AR64</f>
        <v>3315.59</v>
      </c>
      <c r="C33" s="161">
        <f t="shared" si="5"/>
        <v>3315.59</v>
      </c>
      <c r="D33" s="161"/>
      <c r="E33" s="460">
        <f t="shared" si="6"/>
        <v>3315.59</v>
      </c>
      <c r="F33" s="460">
        <f t="shared" si="7"/>
        <v>3315.59</v>
      </c>
      <c r="G33" s="161"/>
      <c r="H33" s="161"/>
      <c r="K33">
        <f t="shared" ref="K33:N33" si="18">B9*(0.8)^(LOG((B33/B21),2))</f>
        <v>434.023516502097</v>
      </c>
      <c r="L33" s="161">
        <v>10</v>
      </c>
      <c r="N33">
        <f t="shared" si="18"/>
        <v>482.248351668997</v>
      </c>
      <c r="O33" s="364">
        <v>10</v>
      </c>
      <c r="R33" s="442" t="s">
        <v>10</v>
      </c>
      <c r="S33" s="173">
        <f t="shared" si="3"/>
        <v>434.023516502097</v>
      </c>
      <c r="T33" s="173">
        <f t="shared" si="4"/>
        <v>308.256103921463</v>
      </c>
      <c r="U33" s="173"/>
      <c r="V33" s="173">
        <f t="shared" si="9"/>
        <v>10</v>
      </c>
      <c r="W33" s="173">
        <f t="shared" si="10"/>
        <v>10</v>
      </c>
      <c r="X33" s="173"/>
      <c r="Y33" s="173">
        <f t="shared" si="11"/>
        <v>482.248351668997</v>
      </c>
      <c r="Z33" s="173">
        <f t="shared" si="12"/>
        <v>342.506782134958</v>
      </c>
      <c r="AA33" s="173"/>
      <c r="AB33" s="173">
        <f t="shared" si="13"/>
        <v>10</v>
      </c>
      <c r="AC33" s="173">
        <f t="shared" si="14"/>
        <v>10</v>
      </c>
    </row>
    <row r="34" spans="1:29">
      <c r="A34" s="442" t="s">
        <v>11</v>
      </c>
      <c r="B34" s="234">
        <f>'Summari-ForCount (2030)'!AR65</f>
        <v>385.32</v>
      </c>
      <c r="C34" s="161">
        <f t="shared" si="5"/>
        <v>385.32</v>
      </c>
      <c r="D34" s="161"/>
      <c r="E34" s="460">
        <f t="shared" si="6"/>
        <v>385.32</v>
      </c>
      <c r="F34" s="460">
        <f t="shared" si="7"/>
        <v>385.32</v>
      </c>
      <c r="G34" s="161"/>
      <c r="H34" s="161"/>
      <c r="K34">
        <f t="shared" ref="K34:N34" si="19">B10*(0.8)^(LOG((B34/B22),2))</f>
        <v>407.452755311555</v>
      </c>
      <c r="L34" s="161">
        <v>8</v>
      </c>
      <c r="N34">
        <f t="shared" si="19"/>
        <v>445.651451122013</v>
      </c>
      <c r="O34" s="364">
        <v>10</v>
      </c>
      <c r="R34" s="442" t="s">
        <v>11</v>
      </c>
      <c r="S34" s="173">
        <f t="shared" si="3"/>
        <v>407.452755311555</v>
      </c>
      <c r="T34" s="173">
        <f t="shared" si="4"/>
        <v>244.512115621497</v>
      </c>
      <c r="U34" s="173"/>
      <c r="V34" s="173">
        <f t="shared" si="9"/>
        <v>8</v>
      </c>
      <c r="W34" s="173">
        <f t="shared" si="10"/>
        <v>8</v>
      </c>
      <c r="X34" s="173"/>
      <c r="Y34" s="173">
        <f t="shared" si="11"/>
        <v>445.651451122013</v>
      </c>
      <c r="Z34" s="173">
        <f t="shared" si="12"/>
        <v>267.435126461012</v>
      </c>
      <c r="AA34" s="173"/>
      <c r="AB34" s="173">
        <f t="shared" si="13"/>
        <v>10</v>
      </c>
      <c r="AC34" s="173">
        <f t="shared" si="14"/>
        <v>8</v>
      </c>
    </row>
    <row r="35" spans="1:29">
      <c r="A35" s="444" t="s">
        <v>12</v>
      </c>
      <c r="B35" s="234">
        <f>'Summarize-ForReg(2030)'!AP65</f>
        <v>132.56</v>
      </c>
      <c r="C35" s="161">
        <f t="shared" si="5"/>
        <v>132.56</v>
      </c>
      <c r="D35" s="163"/>
      <c r="E35" s="460">
        <f t="shared" si="6"/>
        <v>132.56</v>
      </c>
      <c r="F35" s="460">
        <f t="shared" si="7"/>
        <v>132.56</v>
      </c>
      <c r="G35" s="458"/>
      <c r="H35" s="458"/>
      <c r="K35">
        <f t="shared" ref="K35:N35" si="20">B11*(0.8)^(LOG((B35/B23),2))</f>
        <v>299.634784633373</v>
      </c>
      <c r="L35" s="161">
        <v>8</v>
      </c>
      <c r="N35">
        <f t="shared" si="20"/>
        <v>492.947548912969</v>
      </c>
      <c r="O35" s="364">
        <v>14</v>
      </c>
      <c r="R35" s="444" t="s">
        <v>12</v>
      </c>
      <c r="S35" s="173">
        <f t="shared" si="3"/>
        <v>299.634784633373</v>
      </c>
      <c r="T35" s="173">
        <f t="shared" si="4"/>
        <v>154.939062206702</v>
      </c>
      <c r="U35" s="173"/>
      <c r="V35" s="173">
        <f t="shared" si="9"/>
        <v>8</v>
      </c>
      <c r="W35" s="173">
        <f t="shared" si="10"/>
        <v>8</v>
      </c>
      <c r="X35" s="173"/>
      <c r="Y35" s="173">
        <f t="shared" si="11"/>
        <v>492.947548912969</v>
      </c>
      <c r="Z35" s="173">
        <f t="shared" si="12"/>
        <v>254.899747501349</v>
      </c>
      <c r="AA35" s="173"/>
      <c r="AB35" s="173">
        <f t="shared" si="13"/>
        <v>14</v>
      </c>
      <c r="AC35" s="173">
        <f t="shared" si="14"/>
        <v>12</v>
      </c>
    </row>
    <row r="36" spans="1:29">
      <c r="A36" s="444" t="s">
        <v>13</v>
      </c>
      <c r="B36" s="234">
        <f>'Summarize-ForReg(2030)'!AP66</f>
        <v>175.19</v>
      </c>
      <c r="C36" s="161">
        <f t="shared" si="5"/>
        <v>175.19</v>
      </c>
      <c r="E36" s="460">
        <f t="shared" si="6"/>
        <v>175.19</v>
      </c>
      <c r="F36" s="460">
        <f t="shared" si="7"/>
        <v>175.19</v>
      </c>
      <c r="K36">
        <f t="shared" ref="K36:N36" si="21">B12*(0.8)^(LOG((B36/B24),2))</f>
        <v>670.63208061189</v>
      </c>
      <c r="L36" s="161">
        <v>18</v>
      </c>
      <c r="N36">
        <f t="shared" si="21"/>
        <v>930.383942820721</v>
      </c>
      <c r="O36" s="364">
        <v>26</v>
      </c>
      <c r="R36" s="444" t="s">
        <v>13</v>
      </c>
      <c r="S36" s="173">
        <f t="shared" si="3"/>
        <v>670.63208061189</v>
      </c>
      <c r="T36" s="173">
        <f t="shared" si="4"/>
        <v>389.759997757058</v>
      </c>
      <c r="U36" s="173"/>
      <c r="V36" s="173">
        <f t="shared" si="9"/>
        <v>18</v>
      </c>
      <c r="W36" s="173">
        <f t="shared" si="10"/>
        <v>18</v>
      </c>
      <c r="X36" s="173"/>
      <c r="Y36" s="173">
        <f t="shared" si="11"/>
        <v>930.383942820721</v>
      </c>
      <c r="Z36" s="173">
        <f t="shared" si="12"/>
        <v>540.723377170003</v>
      </c>
      <c r="AA36" s="173"/>
      <c r="AB36" s="173">
        <f t="shared" si="13"/>
        <v>26</v>
      </c>
      <c r="AC36" s="173">
        <f t="shared" si="14"/>
        <v>24</v>
      </c>
    </row>
    <row r="37" spans="1:29">
      <c r="A37" s="443" t="s">
        <v>14</v>
      </c>
      <c r="B37" s="234">
        <f>'Summari-ForCount (2030)'!AR61</f>
        <v>135.34</v>
      </c>
      <c r="C37" s="161">
        <f t="shared" si="5"/>
        <v>135.34</v>
      </c>
      <c r="E37" s="460">
        <f t="shared" si="6"/>
        <v>135.34</v>
      </c>
      <c r="F37" s="460">
        <f t="shared" si="7"/>
        <v>135.34</v>
      </c>
      <c r="K37">
        <f t="shared" ref="K37:N37" si="22">B13*(0.8)^(LOG((B37/B25),2))</f>
        <v>512.534426959629</v>
      </c>
      <c r="L37" s="462">
        <v>10</v>
      </c>
      <c r="N37">
        <f t="shared" si="22"/>
        <v>396.35995684878</v>
      </c>
      <c r="O37" s="458">
        <v>8</v>
      </c>
      <c r="R37" s="443" t="s">
        <v>14</v>
      </c>
      <c r="S37" s="173">
        <f t="shared" si="3"/>
        <v>512.534426959629</v>
      </c>
      <c r="T37" s="173">
        <f t="shared" si="4"/>
        <v>422.915623159577</v>
      </c>
      <c r="U37" s="173"/>
      <c r="V37" s="426">
        <f t="shared" si="9"/>
        <v>10</v>
      </c>
      <c r="W37" s="426">
        <f t="shared" si="10"/>
        <v>10</v>
      </c>
      <c r="X37" s="173"/>
      <c r="Y37" s="173">
        <f t="shared" si="11"/>
        <v>396.35995684878</v>
      </c>
      <c r="Z37" s="173">
        <f t="shared" si="12"/>
        <v>327.054748576739</v>
      </c>
      <c r="AA37" s="173"/>
      <c r="AB37" s="173">
        <f t="shared" si="13"/>
        <v>8</v>
      </c>
      <c r="AC37" s="173">
        <f t="shared" si="14"/>
        <v>8</v>
      </c>
    </row>
    <row r="39" spans="1:6">
      <c r="A39" s="442"/>
      <c r="B39" s="14" t="s">
        <v>15</v>
      </c>
      <c r="C39" s="14" t="s">
        <v>15</v>
      </c>
      <c r="D39" s="459"/>
      <c r="E39" s="14" t="s">
        <v>15</v>
      </c>
      <c r="F39" s="14" t="s">
        <v>15</v>
      </c>
    </row>
    <row r="40" spans="1:15">
      <c r="A40" s="442"/>
      <c r="B40" s="14" t="s">
        <v>21</v>
      </c>
      <c r="C40" s="459">
        <v>2050</v>
      </c>
      <c r="D40" s="459"/>
      <c r="E40" s="14">
        <v>2050</v>
      </c>
      <c r="F40" s="459">
        <v>2050</v>
      </c>
      <c r="K40" s="14" t="s">
        <v>21</v>
      </c>
      <c r="L40" s="459">
        <v>2050</v>
      </c>
      <c r="M40" s="459"/>
      <c r="N40" s="14">
        <v>2050</v>
      </c>
      <c r="O40" s="459">
        <v>2050</v>
      </c>
    </row>
    <row r="41" spans="1:15">
      <c r="A41" s="442" t="s">
        <v>6</v>
      </c>
      <c r="B41" s="234">
        <f>'Summari-ForCount (Current&amp;2050)'!AB95</f>
        <v>1091.41</v>
      </c>
      <c r="C41" s="161">
        <f t="shared" ref="C41:C49" si="23">B41</f>
        <v>1091.41</v>
      </c>
      <c r="D41" s="161"/>
      <c r="E41" s="460">
        <f t="shared" ref="E41:E49" si="24">B41</f>
        <v>1091.41</v>
      </c>
      <c r="F41" s="460">
        <f t="shared" ref="F41:F49" si="25">C41</f>
        <v>1091.41</v>
      </c>
      <c r="K41">
        <f t="shared" ref="K41:N41" si="26">B5*(0.8)^(LOG((B41/B17),2))</f>
        <v>629.139592182869</v>
      </c>
      <c r="L41" s="364">
        <v>12</v>
      </c>
      <c r="N41">
        <f t="shared" si="26"/>
        <v>838.852789577159</v>
      </c>
      <c r="O41" s="364">
        <v>14</v>
      </c>
    </row>
    <row r="42" spans="1:15">
      <c r="A42" s="442" t="s">
        <v>7</v>
      </c>
      <c r="B42" s="234">
        <f>'Summari-ForCount (Current&amp;2050)'!AB97</f>
        <v>2057.92</v>
      </c>
      <c r="C42" s="161">
        <f t="shared" si="23"/>
        <v>2057.92</v>
      </c>
      <c r="D42" s="161"/>
      <c r="E42" s="460">
        <f t="shared" si="24"/>
        <v>2057.92</v>
      </c>
      <c r="F42" s="460">
        <f t="shared" si="25"/>
        <v>2057.92</v>
      </c>
      <c r="K42">
        <f t="shared" ref="K42:N42" si="27">B6*(0.8)^(LOG((B42/B18),2))</f>
        <v>501.61523388708</v>
      </c>
      <c r="L42" s="459">
        <v>16</v>
      </c>
      <c r="N42">
        <f t="shared" si="27"/>
        <v>1563.0688984517</v>
      </c>
      <c r="O42" s="364">
        <v>44</v>
      </c>
    </row>
    <row r="43" spans="1:15">
      <c r="A43" s="442" t="s">
        <v>8</v>
      </c>
      <c r="B43" s="234">
        <f>'Summari-ForCount (Current&amp;2050)'!AB101</f>
        <v>222.41</v>
      </c>
      <c r="C43" s="161">
        <f t="shared" si="23"/>
        <v>222.41</v>
      </c>
      <c r="D43" s="364"/>
      <c r="E43" s="460">
        <f t="shared" si="24"/>
        <v>222.41</v>
      </c>
      <c r="F43" s="460">
        <f t="shared" si="25"/>
        <v>222.41</v>
      </c>
      <c r="K43">
        <f t="shared" ref="K43:N43" si="28">B7*(0.8)^(LOG((B43/B19),2))</f>
        <v>1514.40370166436</v>
      </c>
      <c r="L43" s="364">
        <v>22</v>
      </c>
      <c r="N43">
        <f t="shared" si="28"/>
        <v>1490.61725608848</v>
      </c>
      <c r="O43" s="364">
        <v>22</v>
      </c>
    </row>
    <row r="44" spans="1:15">
      <c r="A44" s="442" t="s">
        <v>9</v>
      </c>
      <c r="B44" s="234">
        <f>'Summari-ForCount (Current&amp;2050)'!AB98</f>
        <v>19.87</v>
      </c>
      <c r="C44" s="161">
        <f t="shared" si="23"/>
        <v>19.87</v>
      </c>
      <c r="D44" s="364"/>
      <c r="E44" s="460">
        <f t="shared" si="24"/>
        <v>19.87</v>
      </c>
      <c r="F44" s="460">
        <f t="shared" si="25"/>
        <v>19.87</v>
      </c>
      <c r="K44">
        <f t="shared" ref="K44:N44" si="29">B8*(0.8)^(LOG((B44/B20),2))</f>
        <v>833.267348518263</v>
      </c>
      <c r="L44" s="161">
        <v>22</v>
      </c>
      <c r="N44">
        <f t="shared" si="29"/>
        <v>1076.91277206161</v>
      </c>
      <c r="O44" s="364">
        <v>28</v>
      </c>
    </row>
    <row r="45" spans="1:15">
      <c r="A45" s="442" t="s">
        <v>10</v>
      </c>
      <c r="B45" s="234">
        <f>'Summari-ForCount (Current&amp;2050)'!AB99</f>
        <v>9597.53</v>
      </c>
      <c r="C45" s="161">
        <f t="shared" si="23"/>
        <v>9597.53</v>
      </c>
      <c r="D45" s="161"/>
      <c r="E45" s="460">
        <f t="shared" si="24"/>
        <v>9597.53</v>
      </c>
      <c r="F45" s="460">
        <f t="shared" si="25"/>
        <v>9597.53</v>
      </c>
      <c r="K45">
        <f t="shared" ref="K45:N45" si="30">B9*(0.8)^(LOG((B45/B21),2))</f>
        <v>308.256103921463</v>
      </c>
      <c r="L45" s="161">
        <v>10</v>
      </c>
      <c r="N45">
        <f t="shared" si="30"/>
        <v>342.506782134958</v>
      </c>
      <c r="O45" s="364">
        <v>10</v>
      </c>
    </row>
    <row r="46" spans="1:15">
      <c r="A46" s="442" t="s">
        <v>11</v>
      </c>
      <c r="B46" s="234">
        <f>'Summari-ForCount (Current&amp;2050)'!AB100</f>
        <v>1882.45</v>
      </c>
      <c r="C46" s="161">
        <f t="shared" si="23"/>
        <v>1882.45</v>
      </c>
      <c r="D46" s="161"/>
      <c r="E46" s="460">
        <f t="shared" si="24"/>
        <v>1882.45</v>
      </c>
      <c r="F46" s="460">
        <f t="shared" si="25"/>
        <v>1882.45</v>
      </c>
      <c r="K46">
        <f t="shared" ref="K46:N46" si="31">B10*(0.8)^(LOG((B46/B22),2))</f>
        <v>244.512115621497</v>
      </c>
      <c r="L46" s="161">
        <v>8</v>
      </c>
      <c r="N46">
        <f t="shared" si="31"/>
        <v>267.435126461012</v>
      </c>
      <c r="O46" s="364">
        <v>8</v>
      </c>
    </row>
    <row r="47" spans="1:15">
      <c r="A47" s="444" t="s">
        <v>12</v>
      </c>
      <c r="B47" s="234">
        <f>'Summarize-ForReg(Current&amp;2050)'!AQ65</f>
        <v>1028.37</v>
      </c>
      <c r="C47" s="161">
        <f t="shared" si="23"/>
        <v>1028.37</v>
      </c>
      <c r="D47" s="163"/>
      <c r="E47" s="460">
        <f t="shared" si="24"/>
        <v>1028.37</v>
      </c>
      <c r="F47" s="460">
        <f t="shared" si="25"/>
        <v>1028.37</v>
      </c>
      <c r="K47">
        <f t="shared" ref="K47:N47" si="32">B11*(0.8)^(LOG((B47/B23),2))</f>
        <v>154.939062206702</v>
      </c>
      <c r="L47" s="161">
        <v>8</v>
      </c>
      <c r="N47">
        <f t="shared" si="32"/>
        <v>254.899747501349</v>
      </c>
      <c r="O47" s="364">
        <v>12</v>
      </c>
    </row>
    <row r="48" spans="1:15">
      <c r="A48" s="444" t="s">
        <v>13</v>
      </c>
      <c r="B48" s="234">
        <f>'Summarize-ForReg(Current&amp;2050)'!AQ66</f>
        <v>945.41</v>
      </c>
      <c r="C48" s="161">
        <f t="shared" si="23"/>
        <v>945.41</v>
      </c>
      <c r="E48" s="460">
        <f t="shared" si="24"/>
        <v>945.41</v>
      </c>
      <c r="F48" s="460">
        <f t="shared" si="25"/>
        <v>945.41</v>
      </c>
      <c r="K48">
        <f t="shared" ref="K48:N48" si="33">B12*(0.8)^(LOG((B48/B24),2))</f>
        <v>389.759997757058</v>
      </c>
      <c r="L48" s="161">
        <v>18</v>
      </c>
      <c r="N48">
        <f t="shared" si="33"/>
        <v>540.723377170003</v>
      </c>
      <c r="O48" s="364">
        <v>24</v>
      </c>
    </row>
    <row r="49" spans="1:15">
      <c r="A49" s="443" t="s">
        <v>14</v>
      </c>
      <c r="B49" s="234">
        <f>'Summari-ForCount (Current&amp;2050)'!AB96</f>
        <v>245.87</v>
      </c>
      <c r="C49" s="161">
        <f t="shared" si="23"/>
        <v>245.87</v>
      </c>
      <c r="E49" s="460">
        <f t="shared" si="24"/>
        <v>245.87</v>
      </c>
      <c r="F49" s="460">
        <f t="shared" si="25"/>
        <v>245.87</v>
      </c>
      <c r="K49">
        <f t="shared" ref="K49:N49" si="34">B13*(0.8)^(LOG((B49/B25),2))</f>
        <v>422.915623159577</v>
      </c>
      <c r="L49" s="462">
        <v>10</v>
      </c>
      <c r="N49">
        <f t="shared" si="34"/>
        <v>327.054748576739</v>
      </c>
      <c r="O49" s="458">
        <v>8</v>
      </c>
    </row>
  </sheetData>
  <mergeCells count="15">
    <mergeCell ref="S26:T26"/>
    <mergeCell ref="S27:T27"/>
    <mergeCell ref="V27:W27"/>
    <mergeCell ref="Y27:Z27"/>
    <mergeCell ref="AB27:AC27"/>
    <mergeCell ref="B1:B2"/>
    <mergeCell ref="C1:C2"/>
    <mergeCell ref="E1:E2"/>
    <mergeCell ref="F1:F2"/>
    <mergeCell ref="K26:K27"/>
    <mergeCell ref="L26:L27"/>
    <mergeCell ref="N26:N27"/>
    <mergeCell ref="O26:O27"/>
    <mergeCell ref="K1:R2"/>
    <mergeCell ref="U1:V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51"/>
  <sheetViews>
    <sheetView zoomScale="43" zoomScaleNormal="43" topLeftCell="A51" workbookViewId="0">
      <selection activeCell="K74" sqref="K74"/>
    </sheetView>
  </sheetViews>
  <sheetFormatPr defaultColWidth="8.72727272727273" defaultRowHeight="14.5"/>
  <cols>
    <col min="4" max="4" width="14.9090909090909" customWidth="1"/>
    <col min="5" max="5" width="39.1818181818182" style="177" customWidth="1"/>
    <col min="6" max="6" width="35" style="13" customWidth="1"/>
    <col min="7" max="7" width="20.3909090909091" style="51" customWidth="1"/>
    <col min="8" max="8" width="36" style="13" customWidth="1"/>
    <col min="9" max="9" width="11.4272727272727" style="13" customWidth="1"/>
    <col min="10" max="10" width="18.8272727272727" style="13" customWidth="1"/>
    <col min="11" max="11" width="48.0909090909091" style="13" customWidth="1"/>
    <col min="12" max="14" width="7.45454545454545" style="51" customWidth="1"/>
    <col min="15" max="15" width="39.2727272727273" style="13" customWidth="1"/>
    <col min="16" max="16" width="25.8181818181818" style="176" customWidth="1"/>
    <col min="18" max="22" width="12.8181818181818"/>
  </cols>
  <sheetData>
    <row r="1" ht="23.5" spans="1:1">
      <c r="A1" s="181" t="s">
        <v>26</v>
      </c>
    </row>
    <row r="3" spans="4:22">
      <c r="D3" s="182"/>
      <c r="E3" s="182"/>
      <c r="F3" s="183" t="s">
        <v>27</v>
      </c>
      <c r="G3" s="184" t="s">
        <v>28</v>
      </c>
      <c r="H3" s="183" t="s">
        <v>29</v>
      </c>
      <c r="I3" s="183" t="s">
        <v>30</v>
      </c>
      <c r="J3" s="183" t="s">
        <v>31</v>
      </c>
      <c r="K3" s="183" t="s">
        <v>32</v>
      </c>
      <c r="L3" s="184" t="s">
        <v>33</v>
      </c>
      <c r="M3" s="184" t="s">
        <v>34</v>
      </c>
      <c r="N3" s="184" t="s">
        <v>35</v>
      </c>
      <c r="O3" s="183" t="s">
        <v>36</v>
      </c>
      <c r="P3" s="203"/>
      <c r="V3" t="s">
        <v>37</v>
      </c>
    </row>
    <row r="4" spans="4:34">
      <c r="D4" s="182" t="s">
        <v>38</v>
      </c>
      <c r="E4" s="183" t="s">
        <v>39</v>
      </c>
      <c r="F4" s="185">
        <f>Attached_WEO2023!B12</f>
        <v>750</v>
      </c>
      <c r="G4" s="186">
        <f>Attached_WEO2023!F12</f>
        <v>990</v>
      </c>
      <c r="H4" s="183"/>
      <c r="I4" s="183"/>
      <c r="J4" s="183"/>
      <c r="K4" s="183"/>
      <c r="L4" s="184"/>
      <c r="M4" s="184"/>
      <c r="N4" s="184"/>
      <c r="O4" s="183">
        <f>AVERAGE('Attached-DIB_GNESTE_Solar_Power'!W70:W74)</f>
        <v>860.90269</v>
      </c>
      <c r="P4" s="203"/>
      <c r="V4" s="212"/>
      <c r="W4" s="213"/>
      <c r="X4" s="212" t="s">
        <v>40</v>
      </c>
      <c r="Y4" s="212"/>
      <c r="Z4" s="212"/>
      <c r="AA4" s="212"/>
      <c r="AB4" s="212"/>
      <c r="AC4" s="213"/>
      <c r="AD4" s="212" t="s">
        <v>41</v>
      </c>
      <c r="AE4" s="212"/>
      <c r="AF4" s="212"/>
      <c r="AG4" s="212"/>
      <c r="AH4" s="212"/>
    </row>
    <row r="5" spans="4:34">
      <c r="D5" s="182"/>
      <c r="E5" s="187" t="s">
        <v>42</v>
      </c>
      <c r="F5" s="183"/>
      <c r="G5" s="184"/>
      <c r="H5" s="188">
        <f>'Attached-IRENA2024 report'!J20</f>
        <v>626.345636479765</v>
      </c>
      <c r="I5" s="183"/>
      <c r="J5" s="183"/>
      <c r="K5" s="183"/>
      <c r="L5" s="184"/>
      <c r="M5" s="184"/>
      <c r="N5" s="184"/>
      <c r="O5" s="183"/>
      <c r="P5" s="203"/>
      <c r="V5" s="214">
        <v>2023</v>
      </c>
      <c r="W5" s="215"/>
      <c r="X5" s="214">
        <v>2030</v>
      </c>
      <c r="Y5" s="214">
        <v>2035</v>
      </c>
      <c r="Z5" s="214">
        <v>2040</v>
      </c>
      <c r="AA5" s="214">
        <v>2045</v>
      </c>
      <c r="AB5" s="214">
        <v>2050</v>
      </c>
      <c r="AC5" s="215"/>
      <c r="AD5" s="214">
        <v>2030</v>
      </c>
      <c r="AE5" s="214">
        <v>2035</v>
      </c>
      <c r="AF5" s="214">
        <v>2040</v>
      </c>
      <c r="AG5" s="214">
        <v>2045</v>
      </c>
      <c r="AH5" s="214">
        <v>2050</v>
      </c>
    </row>
    <row r="6" spans="4:34">
      <c r="D6" s="182"/>
      <c r="E6" s="189" t="s">
        <v>43</v>
      </c>
      <c r="F6" s="183"/>
      <c r="G6" s="184"/>
      <c r="H6" s="188">
        <f>'Attached-IRENA2024 report'!J22</f>
        <v>753.199942043778</v>
      </c>
      <c r="I6" s="204">
        <f>'Attached-IEA2020Projected Costs'!K39</f>
        <v>819.399970080133</v>
      </c>
      <c r="J6" s="204">
        <f>'Attached-IEA2020Projected Costs'!L39</f>
        <v>835.159105087596</v>
      </c>
      <c r="K6" s="204">
        <f>'Attached-IEA2020Projected Costs'!M39</f>
        <v>846.786009386821</v>
      </c>
      <c r="L6" s="205">
        <f>'Attached-IEA2020Projected Costs'!K38</f>
        <v>858.483192337245</v>
      </c>
      <c r="M6" s="205">
        <f>'Attached-IEA2020Projected Costs'!L38</f>
        <v>874.993996613156</v>
      </c>
      <c r="N6" s="205">
        <f>'Attached-IEA2020Projected Costs'!M38</f>
        <v>887.175473650338</v>
      </c>
      <c r="O6" s="183">
        <f>AVERAGE('Attached-DIB_GNESTE_Solar_Power'!V66:V68)</f>
        <v>787.414483333333</v>
      </c>
      <c r="P6" s="203"/>
      <c r="V6" s="216">
        <v>169.75</v>
      </c>
      <c r="W6" s="216"/>
      <c r="X6" s="216">
        <v>563.37</v>
      </c>
      <c r="Y6" s="216">
        <v>912.72</v>
      </c>
      <c r="Z6" s="216">
        <v>1278.24</v>
      </c>
      <c r="AA6" s="216">
        <v>1626.29</v>
      </c>
      <c r="AB6" s="216">
        <v>1894.82</v>
      </c>
      <c r="AC6" s="231"/>
      <c r="AD6" s="216">
        <v>719.52</v>
      </c>
      <c r="AE6" s="216">
        <v>1210.5</v>
      </c>
      <c r="AF6" s="216">
        <v>1604.45</v>
      </c>
      <c r="AG6" s="216">
        <v>1916.62</v>
      </c>
      <c r="AH6" s="216">
        <v>2057.92</v>
      </c>
    </row>
    <row r="7" spans="4:16">
      <c r="D7" s="182"/>
      <c r="E7" s="190" t="s">
        <v>44</v>
      </c>
      <c r="F7" s="183"/>
      <c r="G7" s="184"/>
      <c r="H7" s="188">
        <f>'Attached-IRENA2024 report'!J24</f>
        <v>730.770056340242</v>
      </c>
      <c r="I7" s="183"/>
      <c r="J7" s="183"/>
      <c r="K7" s="183"/>
      <c r="L7" s="184"/>
      <c r="M7" s="184"/>
      <c r="N7" s="184"/>
      <c r="O7" s="183">
        <f>AVERAGE('Attached-DIB_GNESTE_Solar_Power'!X89:X90)</f>
        <v>757.7542</v>
      </c>
      <c r="P7" s="203"/>
    </row>
    <row r="8" spans="4:16">
      <c r="D8" s="182"/>
      <c r="E8" s="467" t="s">
        <v>45</v>
      </c>
      <c r="F8" s="183"/>
      <c r="G8" s="184"/>
      <c r="H8" s="188">
        <f>'Attached-IRENA2024 report'!J26</f>
        <v>932.69057682304</v>
      </c>
      <c r="I8" s="183"/>
      <c r="J8" s="183"/>
      <c r="K8" s="183"/>
      <c r="L8" s="184"/>
      <c r="M8" s="184"/>
      <c r="N8" s="184"/>
      <c r="O8" s="183"/>
      <c r="P8" s="203"/>
    </row>
    <row r="9" spans="4:16">
      <c r="D9" s="182"/>
      <c r="E9" s="183" t="s">
        <v>46</v>
      </c>
      <c r="F9" s="183"/>
      <c r="G9" s="184"/>
      <c r="H9" s="188">
        <f>'Attached-IRENA2024 report'!J28</f>
        <v>723.269642287587</v>
      </c>
      <c r="I9" s="183"/>
      <c r="J9" s="183"/>
      <c r="K9" s="183"/>
      <c r="L9" s="184"/>
      <c r="M9" s="184"/>
      <c r="N9" s="184"/>
      <c r="O9" s="183"/>
      <c r="P9" s="203"/>
    </row>
    <row r="10" spans="4:22">
      <c r="D10" s="182"/>
      <c r="E10" s="190" t="s">
        <v>47</v>
      </c>
      <c r="F10" s="183"/>
      <c r="G10" s="184"/>
      <c r="H10" s="188">
        <f>'Attached-IRENA2024 report'!J30</f>
        <v>954.780120798756</v>
      </c>
      <c r="I10" s="204" cm="1">
        <f t="array" ref="I10:K10">'Attached-IEA2020Projected Costs'!K21:M21</f>
        <v>718.771903579064</v>
      </c>
      <c r="J10" s="183">
        <v>732.59570621719</v>
      </c>
      <c r="K10" s="183">
        <v>742.794745076159</v>
      </c>
      <c r="L10" s="184">
        <f>AVERAGE('Attached-IEA2020Projected Costs'!K19:K20)</f>
        <v>1293.78942644231</v>
      </c>
      <c r="M10" s="184">
        <f>AVERAGE('Attached-IEA2020Projected Costs'!L19:L20)</f>
        <v>1318.67227119094</v>
      </c>
      <c r="N10" s="184">
        <f>AVERAGE('Attached-IEA2020Projected Costs'!M19:M20)</f>
        <v>1337.03054113709</v>
      </c>
      <c r="O10" s="183"/>
      <c r="P10" s="203"/>
      <c r="V10" t="s">
        <v>48</v>
      </c>
    </row>
    <row r="11" spans="4:34">
      <c r="D11" s="182"/>
      <c r="E11" s="467" t="s">
        <v>49</v>
      </c>
      <c r="F11" s="183"/>
      <c r="G11" s="184"/>
      <c r="H11" s="188">
        <f>'Attached-IRENA2024 report'!J32</f>
        <v>821.340789143001</v>
      </c>
      <c r="I11" s="183">
        <f>AVERAGE('Attached-IEA2020Projected Costs'!K31:K32)</f>
        <v>844.088155965248</v>
      </c>
      <c r="J11" s="183">
        <f>AVERAGE('Attached-IEA2020Projected Costs'!L31:L32)</f>
        <v>860.322107263484</v>
      </c>
      <c r="K11" s="183">
        <f>AVERAGE('Attached-IEA2020Projected Costs'!M31:M32)</f>
        <v>872.299325432723</v>
      </c>
      <c r="L11" s="184">
        <f>AVERAGE('Attached-IEA2020Projected Costs'!K26:K30)</f>
        <v>1347.02977522693</v>
      </c>
      <c r="M11" s="184">
        <f>AVERAGE('Attached-IEA2020Projected Costs'!L26:L30)</f>
        <v>1372.93656661331</v>
      </c>
      <c r="N11" s="184">
        <f>AVERAGE('Attached-IEA2020Projected Costs'!M26:M30)</f>
        <v>1392.05029233536</v>
      </c>
      <c r="O11" s="183"/>
      <c r="P11" s="203"/>
      <c r="V11" s="212"/>
      <c r="W11" s="213"/>
      <c r="X11" s="212" t="s">
        <v>40</v>
      </c>
      <c r="Y11" s="212"/>
      <c r="Z11" s="212"/>
      <c r="AA11" s="212"/>
      <c r="AB11" s="212"/>
      <c r="AC11" s="213"/>
      <c r="AD11" s="212" t="s">
        <v>41</v>
      </c>
      <c r="AE11" s="212"/>
      <c r="AF11" s="212"/>
      <c r="AG11" s="212"/>
      <c r="AH11" s="212"/>
    </row>
    <row r="12" spans="4:34">
      <c r="D12" s="182"/>
      <c r="E12" s="467" t="s">
        <v>50</v>
      </c>
      <c r="F12" s="183"/>
      <c r="G12" s="184"/>
      <c r="H12" s="192">
        <f>'Attached-IRENA2024 report'!J57</f>
        <v>670.767173185107</v>
      </c>
      <c r="I12" s="183"/>
      <c r="J12" s="183"/>
      <c r="K12" s="183"/>
      <c r="L12" s="184"/>
      <c r="M12" s="184"/>
      <c r="N12" s="184"/>
      <c r="O12" s="183"/>
      <c r="P12" s="203"/>
      <c r="V12" s="214">
        <v>2023</v>
      </c>
      <c r="W12" s="215"/>
      <c r="X12" s="214">
        <v>2030</v>
      </c>
      <c r="Y12" s="214">
        <v>2035</v>
      </c>
      <c r="Z12" s="214">
        <v>2040</v>
      </c>
      <c r="AA12" s="214">
        <v>2045</v>
      </c>
      <c r="AB12" s="214">
        <v>2050</v>
      </c>
      <c r="AC12" s="215"/>
      <c r="AD12" s="214">
        <v>2030</v>
      </c>
      <c r="AE12" s="214">
        <v>2035</v>
      </c>
      <c r="AF12" s="214">
        <v>2040</v>
      </c>
      <c r="AG12" s="214">
        <v>2045</v>
      </c>
      <c r="AH12" s="214">
        <v>2050</v>
      </c>
    </row>
    <row r="13" spans="4:34">
      <c r="D13" s="182"/>
      <c r="E13" s="467" t="s">
        <v>51</v>
      </c>
      <c r="F13" s="183"/>
      <c r="G13" s="184"/>
      <c r="H13" s="192">
        <f>'Attached-IRENA2024 report'!J58</f>
        <v>715.36</v>
      </c>
      <c r="I13" s="183"/>
      <c r="J13" s="183"/>
      <c r="K13" s="183"/>
      <c r="L13" s="184"/>
      <c r="M13" s="184"/>
      <c r="N13" s="184"/>
      <c r="O13" s="183"/>
      <c r="P13" s="203"/>
      <c r="V13" s="216">
        <v>41.48</v>
      </c>
      <c r="W13" s="216"/>
      <c r="X13" s="216">
        <v>91.81</v>
      </c>
      <c r="Y13" s="216">
        <v>106.1</v>
      </c>
      <c r="Z13" s="216">
        <v>120.79</v>
      </c>
      <c r="AA13" s="216">
        <v>135.53</v>
      </c>
      <c r="AB13" s="216">
        <v>150.96</v>
      </c>
      <c r="AC13" s="231"/>
      <c r="AD13" s="216">
        <v>135.34</v>
      </c>
      <c r="AE13" s="216">
        <v>175.49</v>
      </c>
      <c r="AF13" s="216">
        <v>201.5</v>
      </c>
      <c r="AG13" s="216">
        <v>223.35</v>
      </c>
      <c r="AH13" s="216">
        <v>245.87</v>
      </c>
    </row>
    <row r="14" spans="4:16">
      <c r="D14" s="182"/>
      <c r="E14" s="467" t="s">
        <v>52</v>
      </c>
      <c r="F14" s="183"/>
      <c r="G14" s="184"/>
      <c r="H14" s="183">
        <f>'Attached-IRENA2024 report'!J62</f>
        <v>1078</v>
      </c>
      <c r="I14" s="204">
        <f>'Attached-IEA2020Projected Costs'!K25</f>
        <v>978.037474432965</v>
      </c>
      <c r="J14" s="204">
        <f>'Attached-IEA2020Projected Costs'!L25</f>
        <v>996.847610098994</v>
      </c>
      <c r="K14" s="204">
        <f>'Attached-IEA2020Projected Costs'!M25</f>
        <v>1010.72550676913</v>
      </c>
      <c r="L14" s="184">
        <f>AVERAGE('Attached-IEA2020Projected Costs'!K22:K24)</f>
        <v>1445.27196682721</v>
      </c>
      <c r="M14" s="184">
        <f>AVERAGE('Attached-IEA2020Projected Costs'!L22:L24)</f>
        <v>1473.06820417086</v>
      </c>
      <c r="N14" s="184">
        <f>AVERAGE('Attached-IEA2020Projected Costs'!M22:M24)</f>
        <v>1493.57594087851</v>
      </c>
      <c r="O14" s="183"/>
      <c r="P14" s="203"/>
    </row>
    <row r="15" spans="4:16">
      <c r="D15" s="182"/>
      <c r="E15" s="467" t="s">
        <v>53</v>
      </c>
      <c r="F15" s="183"/>
      <c r="G15" s="184"/>
      <c r="H15" s="183">
        <f>'Attached-IRENA2024 report'!J63</f>
        <v>965</v>
      </c>
      <c r="I15" s="204">
        <f>'Attached-IEA2020Projected Costs'!K12</f>
        <v>1006.28066501069</v>
      </c>
      <c r="J15" s="204">
        <f>'Attached-IEA2020Projected Costs'!L12</f>
        <v>1025.63398870407</v>
      </c>
      <c r="K15" s="204">
        <f>'Attached-IEA2020Projected Costs'!M12</f>
        <v>1039.91264310662</v>
      </c>
      <c r="L15" s="184">
        <f>AVERAGE('Attached-IEA2020Projected Costs'!K9:K11)</f>
        <v>1419.33491893413</v>
      </c>
      <c r="M15" s="184">
        <f>AVERAGE('Attached-IEA2020Projected Costs'!L9:L11)</f>
        <v>1446.63232121021</v>
      </c>
      <c r="N15" s="184">
        <f>AVERAGE('Attached-IEA2020Projected Costs'!M9:M11)</f>
        <v>1466.77202327705</v>
      </c>
      <c r="O15" s="183"/>
      <c r="P15" s="203"/>
    </row>
    <row r="16" spans="4:22">
      <c r="D16" s="182"/>
      <c r="E16" s="468" t="s">
        <v>54</v>
      </c>
      <c r="F16" s="183"/>
      <c r="G16" s="184"/>
      <c r="H16" s="183">
        <f>'Attached-IRENA2024 report'!J64</f>
        <v>854</v>
      </c>
      <c r="I16" s="183"/>
      <c r="J16" s="183"/>
      <c r="K16" s="183"/>
      <c r="L16" s="184"/>
      <c r="M16" s="184"/>
      <c r="N16" s="184"/>
      <c r="O16" s="183"/>
      <c r="P16" s="203"/>
      <c r="V16" t="s">
        <v>39</v>
      </c>
    </row>
    <row r="17" spans="4:34">
      <c r="D17" s="182"/>
      <c r="E17" s="467" t="s">
        <v>55</v>
      </c>
      <c r="F17" s="183"/>
      <c r="G17" s="184"/>
      <c r="H17" s="183">
        <f>'Attached-IRENA2024 report'!J65</f>
        <v>844</v>
      </c>
      <c r="I17" s="183"/>
      <c r="J17" s="183"/>
      <c r="K17" s="183"/>
      <c r="L17" s="184"/>
      <c r="M17" s="184"/>
      <c r="N17" s="184"/>
      <c r="O17" s="183"/>
      <c r="P17" s="203"/>
      <c r="V17" s="212"/>
      <c r="W17" s="213"/>
      <c r="X17" s="212" t="s">
        <v>40</v>
      </c>
      <c r="Y17" s="212"/>
      <c r="Z17" s="212"/>
      <c r="AA17" s="212"/>
      <c r="AB17" s="212"/>
      <c r="AC17" s="213"/>
      <c r="AD17" s="212" t="s">
        <v>41</v>
      </c>
      <c r="AE17" s="212"/>
      <c r="AF17" s="212"/>
      <c r="AG17" s="212"/>
      <c r="AH17" s="212"/>
    </row>
    <row r="18" spans="4:34">
      <c r="D18" s="182"/>
      <c r="E18" s="467" t="s">
        <v>56</v>
      </c>
      <c r="F18" s="183"/>
      <c r="G18" s="184"/>
      <c r="H18" s="183">
        <f>'Attached-IRENA2024 report'!J67</f>
        <v>743</v>
      </c>
      <c r="I18" s="183"/>
      <c r="J18" s="183"/>
      <c r="K18" s="183"/>
      <c r="L18" s="184"/>
      <c r="M18" s="184"/>
      <c r="N18" s="184"/>
      <c r="O18" s="183"/>
      <c r="P18" s="203"/>
      <c r="V18" s="214">
        <v>2023</v>
      </c>
      <c r="W18" s="215"/>
      <c r="X18" s="214">
        <v>2030</v>
      </c>
      <c r="Y18" s="214">
        <v>2035</v>
      </c>
      <c r="Z18" s="214">
        <v>2040</v>
      </c>
      <c r="AA18" s="214">
        <v>2045</v>
      </c>
      <c r="AB18" s="214">
        <v>2050</v>
      </c>
      <c r="AC18" s="215"/>
      <c r="AD18" s="214">
        <v>2030</v>
      </c>
      <c r="AE18" s="214">
        <v>2035</v>
      </c>
      <c r="AF18" s="214">
        <v>2040</v>
      </c>
      <c r="AG18" s="214">
        <v>2045</v>
      </c>
      <c r="AH18" s="214">
        <v>2050</v>
      </c>
    </row>
    <row r="19" spans="4:34">
      <c r="D19" s="182"/>
      <c r="E19" s="467" t="s">
        <v>57</v>
      </c>
      <c r="F19" s="183"/>
      <c r="G19" s="184"/>
      <c r="H19" s="183">
        <f>'Attached-IRENA2024 report'!J68</f>
        <v>716</v>
      </c>
      <c r="I19" s="183"/>
      <c r="J19" s="183"/>
      <c r="K19" s="183"/>
      <c r="L19" s="184"/>
      <c r="M19" s="184"/>
      <c r="N19" s="184"/>
      <c r="O19" s="183"/>
      <c r="P19" s="203"/>
      <c r="V19" s="216">
        <v>266.93</v>
      </c>
      <c r="W19" s="216"/>
      <c r="X19" s="216">
        <v>646.76</v>
      </c>
      <c r="Y19" s="216">
        <v>870.02</v>
      </c>
      <c r="Z19" s="216">
        <v>991.11</v>
      </c>
      <c r="AA19" s="216">
        <v>1055.84</v>
      </c>
      <c r="AB19" s="216">
        <v>1078.1</v>
      </c>
      <c r="AC19" s="231"/>
      <c r="AD19" s="216">
        <v>746.62</v>
      </c>
      <c r="AE19" s="216">
        <v>967.2</v>
      </c>
      <c r="AF19" s="216">
        <v>1050.68</v>
      </c>
      <c r="AG19" s="216">
        <v>1081.83</v>
      </c>
      <c r="AH19" s="216">
        <v>1091.41</v>
      </c>
    </row>
    <row r="20" spans="4:16">
      <c r="D20" s="182"/>
      <c r="E20" s="467" t="s">
        <v>58</v>
      </c>
      <c r="F20" s="183"/>
      <c r="G20" s="184"/>
      <c r="H20" s="183">
        <f>'Attached-IRENA2024 report'!J69</f>
        <v>705</v>
      </c>
      <c r="I20" s="183"/>
      <c r="J20" s="183"/>
      <c r="K20" s="183"/>
      <c r="L20" s="184"/>
      <c r="M20" s="184"/>
      <c r="N20" s="184"/>
      <c r="O20" s="183"/>
      <c r="P20" s="203"/>
    </row>
    <row r="21" spans="4:16">
      <c r="D21" s="182"/>
      <c r="E21" s="468" t="s">
        <v>59</v>
      </c>
      <c r="F21" s="183"/>
      <c r="G21" s="184"/>
      <c r="H21" s="183">
        <f>'Attached-IRENA2024 report'!J70</f>
        <v>700</v>
      </c>
      <c r="I21" s="183"/>
      <c r="J21" s="183"/>
      <c r="K21" s="183"/>
      <c r="L21" s="184"/>
      <c r="M21" s="184"/>
      <c r="N21" s="184"/>
      <c r="O21" s="183"/>
      <c r="P21" s="203"/>
    </row>
    <row r="22" spans="4:22">
      <c r="D22" s="182"/>
      <c r="E22" s="183" t="s">
        <v>60</v>
      </c>
      <c r="F22" s="183"/>
      <c r="G22" s="184"/>
      <c r="H22" s="183">
        <f>'Attached-IRENA2024 report'!J71</f>
        <v>686</v>
      </c>
      <c r="I22" s="183"/>
      <c r="J22" s="183"/>
      <c r="K22" s="183"/>
      <c r="L22" s="184"/>
      <c r="M22" s="184"/>
      <c r="N22" s="184"/>
      <c r="O22" s="183"/>
      <c r="P22" s="203"/>
      <c r="V22" t="s">
        <v>9</v>
      </c>
    </row>
    <row r="23" spans="4:34">
      <c r="D23" s="182"/>
      <c r="E23" s="467" t="s">
        <v>61</v>
      </c>
      <c r="F23" s="183"/>
      <c r="G23" s="184"/>
      <c r="H23" s="183">
        <f>'Attached-IRENA2024 report'!J72</f>
        <v>684</v>
      </c>
      <c r="I23" s="183"/>
      <c r="J23" s="183"/>
      <c r="K23" s="183"/>
      <c r="L23" s="184"/>
      <c r="M23" s="184"/>
      <c r="N23" s="184"/>
      <c r="O23" s="183"/>
      <c r="P23" s="203"/>
      <c r="V23" s="212"/>
      <c r="W23" s="213"/>
      <c r="X23" s="212" t="s">
        <v>40</v>
      </c>
      <c r="Y23" s="212"/>
      <c r="Z23" s="212"/>
      <c r="AA23" s="212"/>
      <c r="AB23" s="212"/>
      <c r="AC23" s="213"/>
      <c r="AD23" s="212" t="s">
        <v>41</v>
      </c>
      <c r="AE23" s="212"/>
      <c r="AF23" s="212"/>
      <c r="AG23" s="212"/>
      <c r="AH23" s="212"/>
    </row>
    <row r="24" spans="4:34">
      <c r="D24" s="182"/>
      <c r="E24" s="183" t="s">
        <v>62</v>
      </c>
      <c r="F24" s="183"/>
      <c r="G24" s="184"/>
      <c r="H24" s="183">
        <f>'Attached-IRENA2024 report'!J73</f>
        <v>678</v>
      </c>
      <c r="I24" s="204">
        <f>'Attached-IEA2020Projected Costs'!K6</f>
        <v>729.55348213275</v>
      </c>
      <c r="J24" s="204">
        <f>'Attached-IEA2020Projected Costs'!L6</f>
        <v>743.584641810447</v>
      </c>
      <c r="K24" s="204">
        <f>'Attached-IEA2020Projected Costs'!M6</f>
        <v>753.936666252302</v>
      </c>
      <c r="L24" s="205">
        <f>'Attached-IEA2020Projected Costs'!K6</f>
        <v>729.55348213275</v>
      </c>
      <c r="M24" s="205">
        <f>'Attached-IEA2020Projected Costs'!L6</f>
        <v>743.584641810447</v>
      </c>
      <c r="N24" s="205">
        <f>'Attached-IEA2020Projected Costs'!M6</f>
        <v>753.936666252302</v>
      </c>
      <c r="O24" s="183"/>
      <c r="P24" s="203"/>
      <c r="V24" s="214">
        <v>2023</v>
      </c>
      <c r="W24" s="215"/>
      <c r="X24" s="214">
        <v>2030</v>
      </c>
      <c r="Y24" s="214">
        <v>2035</v>
      </c>
      <c r="Z24" s="214">
        <v>2040</v>
      </c>
      <c r="AA24" s="214">
        <v>2045</v>
      </c>
      <c r="AB24" s="214">
        <v>2050</v>
      </c>
      <c r="AC24" s="215"/>
      <c r="AD24" s="214">
        <v>2030</v>
      </c>
      <c r="AE24" s="214">
        <v>2035</v>
      </c>
      <c r="AF24" s="214">
        <v>2040</v>
      </c>
      <c r="AG24" s="214">
        <v>2045</v>
      </c>
      <c r="AH24" s="214">
        <v>2050</v>
      </c>
    </row>
    <row r="25" spans="4:34">
      <c r="D25" s="182"/>
      <c r="E25" s="467" t="s">
        <v>63</v>
      </c>
      <c r="F25" s="183"/>
      <c r="G25" s="184"/>
      <c r="H25" s="183">
        <f>'Attached-IRENA2024 report'!J74</f>
        <v>663</v>
      </c>
      <c r="I25" s="183"/>
      <c r="J25" s="183"/>
      <c r="K25" s="183"/>
      <c r="L25" s="184"/>
      <c r="M25" s="184"/>
      <c r="N25" s="184"/>
      <c r="O25" s="183"/>
      <c r="P25" s="203"/>
      <c r="V25" s="216">
        <v>2.13</v>
      </c>
      <c r="W25" s="216"/>
      <c r="X25" s="216">
        <v>4.14</v>
      </c>
      <c r="Y25" s="216">
        <v>4.94</v>
      </c>
      <c r="Z25" s="216">
        <v>6.01</v>
      </c>
      <c r="AA25" s="216">
        <v>7.15</v>
      </c>
      <c r="AB25" s="216">
        <v>8.41</v>
      </c>
      <c r="AC25" s="231"/>
      <c r="AD25" s="216">
        <v>5.49</v>
      </c>
      <c r="AE25" s="216">
        <v>8.85</v>
      </c>
      <c r="AF25" s="216">
        <v>12.61</v>
      </c>
      <c r="AG25" s="216">
        <v>16.55</v>
      </c>
      <c r="AH25" s="216">
        <v>19.87</v>
      </c>
    </row>
    <row r="26" spans="4:16">
      <c r="D26" s="182"/>
      <c r="E26" s="467" t="s">
        <v>64</v>
      </c>
      <c r="F26" s="183"/>
      <c r="G26" s="184"/>
      <c r="H26" s="183">
        <f>'Attached-IRENA2024 report'!J75</f>
        <v>659</v>
      </c>
      <c r="I26" s="183"/>
      <c r="J26" s="183"/>
      <c r="K26" s="183"/>
      <c r="L26" s="184"/>
      <c r="M26" s="184"/>
      <c r="N26" s="184"/>
      <c r="O26" s="183"/>
      <c r="P26" s="203"/>
    </row>
    <row r="27" spans="4:16">
      <c r="D27" s="182"/>
      <c r="E27" s="182" t="s">
        <v>65</v>
      </c>
      <c r="F27" s="183"/>
      <c r="G27" s="184"/>
      <c r="H27" s="183"/>
      <c r="I27" s="183">
        <f>AVERAGE('Attached-IEA2020Projected Costs'!K17:K18)</f>
        <v>587.434644685279</v>
      </c>
      <c r="J27" s="183">
        <f>AVERAGE('Attached-IEA2020Projected Costs'!L17:L18)</f>
        <v>598.732499471325</v>
      </c>
      <c r="K27" s="183">
        <f>AVERAGE('Attached-IEA2020Projected Costs'!M17:M18)</f>
        <v>607.067923739326</v>
      </c>
      <c r="L27" s="184">
        <f>AVERAGE('Attached-IEA2020Projected Costs'!K15:K16)</f>
        <v>1026.75331645407</v>
      </c>
      <c r="M27" s="184">
        <f>AVERAGE('Attached-IEA2020Projected Costs'!L15:L16)</f>
        <v>1046.50038104303</v>
      </c>
      <c r="N27" s="184">
        <f>AVERAGE('Attached-IEA2020Projected Costs'!M15:M16)</f>
        <v>1061.06953284341</v>
      </c>
      <c r="O27" s="183"/>
      <c r="P27" s="203"/>
    </row>
    <row r="28" spans="4:22">
      <c r="D28" s="182"/>
      <c r="E28" s="182" t="s">
        <v>66</v>
      </c>
      <c r="F28" s="183"/>
      <c r="G28" s="184"/>
      <c r="H28" s="183"/>
      <c r="I28" s="183"/>
      <c r="J28" s="183"/>
      <c r="K28" s="183"/>
      <c r="L28" s="205">
        <f>'Attached-IEA2020Projected Costs'!K40</f>
        <v>998.35391971396</v>
      </c>
      <c r="M28" s="205">
        <f>'Attached-IEA2020Projected Costs'!L40</f>
        <v>1017.55479203577</v>
      </c>
      <c r="N28" s="205">
        <f>'Attached-IEA2020Projected Costs'!M40</f>
        <v>1031.72096961097</v>
      </c>
      <c r="O28" s="183"/>
      <c r="P28" s="203"/>
      <c r="V28" t="s">
        <v>67</v>
      </c>
    </row>
    <row r="29" spans="4:34">
      <c r="D29" s="182"/>
      <c r="E29" s="182" t="s">
        <v>68</v>
      </c>
      <c r="F29" s="183"/>
      <c r="G29" s="184"/>
      <c r="H29" s="183"/>
      <c r="I29" s="183"/>
      <c r="J29" s="183"/>
      <c r="K29" s="183"/>
      <c r="L29" s="184"/>
      <c r="M29" s="184"/>
      <c r="N29" s="184"/>
      <c r="O29" s="183"/>
      <c r="P29" s="203"/>
      <c r="V29" s="212"/>
      <c r="W29" s="213"/>
      <c r="X29" s="212" t="s">
        <v>40</v>
      </c>
      <c r="Y29" s="212"/>
      <c r="Z29" s="212"/>
      <c r="AA29" s="212"/>
      <c r="AB29" s="212"/>
      <c r="AC29" s="213"/>
      <c r="AD29" s="212" t="s">
        <v>41</v>
      </c>
      <c r="AE29" s="212"/>
      <c r="AF29" s="212"/>
      <c r="AG29" s="212"/>
      <c r="AH29" s="212"/>
    </row>
    <row r="30" spans="4:34">
      <c r="D30" s="182" t="s">
        <v>69</v>
      </c>
      <c r="E30" s="182" t="s">
        <v>70</v>
      </c>
      <c r="F30" s="183"/>
      <c r="G30" s="184"/>
      <c r="H30" s="188">
        <f>'Attached-IRENA2024 report'!J50</f>
        <v>953.806790727526</v>
      </c>
      <c r="I30" s="183"/>
      <c r="J30" s="183"/>
      <c r="K30" s="183"/>
      <c r="L30" s="184"/>
      <c r="M30" s="184"/>
      <c r="N30" s="184"/>
      <c r="O30" s="183"/>
      <c r="P30" s="203"/>
      <c r="V30" s="214">
        <v>2023</v>
      </c>
      <c r="W30" s="215"/>
      <c r="X30" s="214">
        <v>2030</v>
      </c>
      <c r="Y30" s="214">
        <v>2035</v>
      </c>
      <c r="Z30" s="214">
        <v>2040</v>
      </c>
      <c r="AA30" s="214">
        <v>2045</v>
      </c>
      <c r="AB30" s="214">
        <v>2050</v>
      </c>
      <c r="AC30" s="215"/>
      <c r="AD30" s="214">
        <v>2030</v>
      </c>
      <c r="AE30" s="214">
        <v>2035</v>
      </c>
      <c r="AF30" s="214">
        <v>2040</v>
      </c>
      <c r="AG30" s="214">
        <v>2045</v>
      </c>
      <c r="AH30" s="214">
        <v>2050</v>
      </c>
    </row>
    <row r="31" spans="4:34">
      <c r="D31" s="182"/>
      <c r="E31" s="468" t="s">
        <v>71</v>
      </c>
      <c r="F31" s="183"/>
      <c r="G31" s="184"/>
      <c r="H31" s="183">
        <f>'Attached-IRENA2024 report'!J53</f>
        <v>830</v>
      </c>
      <c r="I31" s="183"/>
      <c r="J31" s="183"/>
      <c r="K31" s="183"/>
      <c r="L31" s="184"/>
      <c r="M31" s="184"/>
      <c r="N31" s="184"/>
      <c r="O31" s="183"/>
      <c r="P31" s="203"/>
      <c r="V31" s="216">
        <v>688.24</v>
      </c>
      <c r="W31" s="216"/>
      <c r="X31" s="216">
        <v>3263.4</v>
      </c>
      <c r="Y31" s="216">
        <v>5343.62</v>
      </c>
      <c r="Z31" s="216">
        <v>7290.94</v>
      </c>
      <c r="AA31" s="216">
        <v>8887.57</v>
      </c>
      <c r="AB31" s="216">
        <v>9432.63</v>
      </c>
      <c r="AC31" s="231"/>
      <c r="AD31" s="216">
        <v>3315.59</v>
      </c>
      <c r="AE31" s="216">
        <v>5433.22</v>
      </c>
      <c r="AF31" s="216">
        <v>7415.35</v>
      </c>
      <c r="AG31" s="216">
        <v>9040.46</v>
      </c>
      <c r="AH31" s="216">
        <v>9597.53</v>
      </c>
    </row>
    <row r="32" spans="4:16">
      <c r="D32" s="182"/>
      <c r="E32" s="182" t="s">
        <v>14</v>
      </c>
      <c r="F32" s="185">
        <f>Attached_WEO2023!B18</f>
        <v>730</v>
      </c>
      <c r="G32" s="186">
        <f>Attached_WEO2023!F18</f>
        <v>560</v>
      </c>
      <c r="H32" s="188">
        <f>'Attached-IRENA2024 report'!J48</f>
        <v>726.985591214851</v>
      </c>
      <c r="I32" s="204">
        <f>'Attached-IEA2020Projected Costs'!K60</f>
        <v>1215.20326226019</v>
      </c>
      <c r="J32" s="204">
        <f>'Attached-IEA2020Projected Costs'!L60</f>
        <v>1238.57469620056</v>
      </c>
      <c r="K32" s="204">
        <f>'Attached-IEA2020Projected Costs'!M60</f>
        <v>1255.81786504401</v>
      </c>
      <c r="L32" s="184"/>
      <c r="M32" s="184"/>
      <c r="N32" s="184"/>
      <c r="O32" s="183">
        <f>'Attached-DIB_GNESTE_Solar_Power'!V134</f>
        <v>1382.1652</v>
      </c>
      <c r="P32" s="203"/>
    </row>
    <row r="33" spans="4:16">
      <c r="D33" s="182"/>
      <c r="E33" s="182" t="s">
        <v>69</v>
      </c>
      <c r="F33" s="183"/>
      <c r="G33" s="184"/>
      <c r="H33" s="183"/>
      <c r="I33" s="183"/>
      <c r="J33" s="183"/>
      <c r="K33" s="183"/>
      <c r="L33" s="184"/>
      <c r="M33" s="184"/>
      <c r="N33" s="184"/>
      <c r="O33" s="183">
        <f>'Attached-DIB_GNESTE_Solar_Power'!AA338</f>
        <v>819.859340854</v>
      </c>
      <c r="P33" s="203"/>
    </row>
    <row r="34" spans="4:16">
      <c r="D34" s="182" t="s">
        <v>72</v>
      </c>
      <c r="E34" s="193" t="s">
        <v>7</v>
      </c>
      <c r="F34" s="185">
        <f>Attached_WEO2023!B13</f>
        <v>1110</v>
      </c>
      <c r="G34" s="186">
        <f>Attached_WEO2023!F13</f>
        <v>3460</v>
      </c>
      <c r="H34" s="188">
        <f>'Attached-IRENA2024 report'!J42</f>
        <v>1108.53043557463</v>
      </c>
      <c r="I34" s="183">
        <f>AVERAGE('Attached-IEA2020Projected Costs'!K51:K55)</f>
        <v>1087.63698238114</v>
      </c>
      <c r="J34" s="183">
        <f>AVERAGE('Attached-IEA2020Projected Costs'!L51:L55)</f>
        <v>1108.55499393877</v>
      </c>
      <c r="K34" s="183">
        <f>AVERAGE('Attached-IEA2020Projected Costs'!M51:M55)</f>
        <v>1123.98805662878</v>
      </c>
      <c r="L34" s="184">
        <f>AVERAGE('Attached-IEA2020Projected Costs'!K41:K50)</f>
        <v>1789.23173252988</v>
      </c>
      <c r="M34" s="184">
        <f>AVERAGE('Attached-IEA2020Projected Costs'!L41:L50)</f>
        <v>1823.64318659647</v>
      </c>
      <c r="N34" s="184">
        <f>AVERAGE('Attached-IEA2020Projected Costs'!M41:M50)</f>
        <v>1849.031552331</v>
      </c>
      <c r="O34" s="183">
        <f>AVERAGE('Attached-DIB_GNESTE_Solar_Power'!V15,'Attached-DIB_GNESTE_Solar_Power'!Z17:Z310,'Attached-DIB_GNESTE_Solar_Power'!AB313:AB315,'Attached-DIB_GNESTE_Solar_Power'!Z319,'Attached-DIB_GNESTE_Solar_Power'!X325,'Attached-DIB_GNESTE_Solar_Power'!Y326,'Attached-DIB_GNESTE_Solar_Power'!X331,'Attached-DIB_GNESTE_Solar_Power'!Y332)</f>
        <v>1349.03034357143</v>
      </c>
      <c r="P34" s="203"/>
    </row>
    <row r="35" spans="4:16">
      <c r="D35" s="182"/>
      <c r="E35" s="182" t="s">
        <v>73</v>
      </c>
      <c r="F35" s="183"/>
      <c r="G35" s="184"/>
      <c r="H35" s="188">
        <f>'Attached-IRENA2024 report'!J38</f>
        <v>1336.5220886681</v>
      </c>
      <c r="I35" s="183">
        <f>AVERAGE('Attached-IEA2020Projected Costs'!K13:K14)</f>
        <v>1328.76929204818</v>
      </c>
      <c r="J35" s="183">
        <f>AVERAGE('Attached-IEA2020Projected Costs'!L13:L14)</f>
        <v>1354.32488813285</v>
      </c>
      <c r="K35" s="183">
        <f>AVERAGE('Attached-IEA2020Projected Costs'!M13:M14)</f>
        <v>1373.17950609542</v>
      </c>
      <c r="L35" s="184"/>
      <c r="M35" s="184"/>
      <c r="N35" s="184"/>
      <c r="O35" s="183"/>
      <c r="P35" s="203"/>
    </row>
    <row r="36" spans="4:34">
      <c r="D36" s="182"/>
      <c r="E36" s="182" t="s">
        <v>74</v>
      </c>
      <c r="F36" s="183"/>
      <c r="G36" s="184"/>
      <c r="H36" s="188">
        <f>'Attached-IRENA2024 report'!J40</f>
        <v>1049.51721777189</v>
      </c>
      <c r="I36" s="183"/>
      <c r="J36" s="183"/>
      <c r="K36" s="183"/>
      <c r="L36" s="184"/>
      <c r="M36" s="184"/>
      <c r="N36" s="184"/>
      <c r="O36" s="183">
        <f>'Attached-DIB_GNESTE_Solar_Power'!V137</f>
        <v>990.405</v>
      </c>
      <c r="P36" s="203"/>
      <c r="V36" s="217" t="s">
        <v>75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</row>
    <row r="37" spans="4:34">
      <c r="D37" s="182"/>
      <c r="E37" s="182" t="s">
        <v>72</v>
      </c>
      <c r="F37" s="183"/>
      <c r="G37" s="184"/>
      <c r="H37" s="183"/>
      <c r="I37" s="183"/>
      <c r="J37" s="183"/>
      <c r="K37" s="183"/>
      <c r="L37" s="184"/>
      <c r="M37" s="184"/>
      <c r="N37" s="184"/>
      <c r="O37" s="183">
        <f>'Attached-DIB_GNESTE_Solar_Power'!AA337</f>
        <v>936.56791089</v>
      </c>
      <c r="P37" s="203"/>
      <c r="V37" s="218"/>
      <c r="W37" s="219"/>
      <c r="X37" s="218" t="s">
        <v>40</v>
      </c>
      <c r="Y37" s="218"/>
      <c r="Z37" s="218"/>
      <c r="AA37" s="218"/>
      <c r="AB37" s="218"/>
      <c r="AC37" s="219"/>
      <c r="AD37" s="218" t="s">
        <v>41</v>
      </c>
      <c r="AE37" s="218"/>
      <c r="AF37" s="218"/>
      <c r="AG37" s="218"/>
      <c r="AH37" s="218"/>
    </row>
    <row r="38" spans="4:34">
      <c r="D38" s="182" t="s">
        <v>76</v>
      </c>
      <c r="E38" s="182" t="s">
        <v>9</v>
      </c>
      <c r="F38" s="185">
        <f>Attached_WEO2023!B15</f>
        <v>1250</v>
      </c>
      <c r="G38" s="186">
        <f>Attached_WEO2023!F15</f>
        <v>1610</v>
      </c>
      <c r="H38" s="183">
        <f>'Attached-IRENA2024 report'!J83</f>
        <v>1248</v>
      </c>
      <c r="I38" s="183"/>
      <c r="J38" s="183"/>
      <c r="K38" s="183"/>
      <c r="L38" s="184"/>
      <c r="M38" s="184"/>
      <c r="N38" s="184"/>
      <c r="O38" s="183">
        <f>'Attached-DIB_GNESTE_Solar_Power'!AA341</f>
        <v>787.789251862</v>
      </c>
      <c r="P38" s="203"/>
      <c r="V38" s="220">
        <v>2023</v>
      </c>
      <c r="W38" s="221"/>
      <c r="X38" s="220">
        <v>2030</v>
      </c>
      <c r="Y38" s="220">
        <v>2035</v>
      </c>
      <c r="Z38" s="220">
        <v>2040</v>
      </c>
      <c r="AA38" s="220">
        <v>2045</v>
      </c>
      <c r="AB38" s="220">
        <v>2050</v>
      </c>
      <c r="AC38" s="221"/>
      <c r="AD38" s="220">
        <v>2030</v>
      </c>
      <c r="AE38" s="220">
        <v>2035</v>
      </c>
      <c r="AF38" s="220">
        <v>2040</v>
      </c>
      <c r="AG38" s="220">
        <v>2045</v>
      </c>
      <c r="AH38" s="220">
        <v>2050</v>
      </c>
    </row>
    <row r="39" spans="4:34">
      <c r="D39" s="183" t="s">
        <v>77</v>
      </c>
      <c r="E39" s="183" t="s">
        <v>8</v>
      </c>
      <c r="F39" s="185">
        <f>Attached_WEO2023!B14</f>
        <v>1880</v>
      </c>
      <c r="G39" s="186">
        <f>Attached_WEO2023!F14</f>
        <v>1850</v>
      </c>
      <c r="H39" s="188">
        <f>'Attached-IRENA2024 report'!J15</f>
        <v>1875.23992880094</v>
      </c>
      <c r="I39" s="204">
        <f>'Attached-IEA2020Projected Costs'!K34</f>
        <v>2035.9917497626</v>
      </c>
      <c r="J39" s="204">
        <f>'Attached-IEA2020Projected Costs'!L34</f>
        <v>2075.14902341426</v>
      </c>
      <c r="K39" s="204">
        <f>'Attached-IEA2020Projected Costs'!M34</f>
        <v>2104.03879897306</v>
      </c>
      <c r="L39" s="205">
        <f>'Attached-IEA2020Projected Costs'!K33</f>
        <v>2367.472691368</v>
      </c>
      <c r="M39" s="205">
        <f>'Attached-IEA2020Projected Costs'!L33</f>
        <v>2413.00518237614</v>
      </c>
      <c r="N39" s="205">
        <f>'Attached-IEA2020Projected Costs'!M33</f>
        <v>2446.59851825444</v>
      </c>
      <c r="O39" s="183"/>
      <c r="P39" s="203"/>
      <c r="V39" s="222">
        <v>32.13</v>
      </c>
      <c r="W39" s="222"/>
      <c r="X39" s="222">
        <v>82.67</v>
      </c>
      <c r="Y39" s="222">
        <v>150.99</v>
      </c>
      <c r="Z39" s="222">
        <v>236.9</v>
      </c>
      <c r="AA39" s="222">
        <v>319.85</v>
      </c>
      <c r="AB39" s="222">
        <v>408.09</v>
      </c>
      <c r="AC39" s="232"/>
      <c r="AD39" s="222">
        <v>165.71</v>
      </c>
      <c r="AE39" s="222">
        <v>368.34</v>
      </c>
      <c r="AF39" s="222">
        <v>669.78</v>
      </c>
      <c r="AG39" s="222">
        <v>898.17</v>
      </c>
      <c r="AH39" s="222">
        <v>1074.26</v>
      </c>
    </row>
    <row r="40" spans="4:16">
      <c r="D40" s="183"/>
      <c r="E40" s="183" t="s">
        <v>10</v>
      </c>
      <c r="F40" s="185">
        <f>Attached_WEO2023!B16</f>
        <v>670</v>
      </c>
      <c r="G40" s="186">
        <f>Attached_WEO2023!F16</f>
        <v>750</v>
      </c>
      <c r="H40" s="188">
        <f>'Attached-IRENA2024 report'!J11</f>
        <v>671.126163217668</v>
      </c>
      <c r="I40" s="204">
        <f>'Attached-IEA2020Projected Costs'!K61</f>
        <v>741.295337697466</v>
      </c>
      <c r="J40" s="204">
        <f>'Attached-IEA2020Projected Costs'!L61</f>
        <v>755.552322971745</v>
      </c>
      <c r="K40" s="204">
        <f>'Attached-IEA2020Projected Costs'!M61</f>
        <v>766.070958880442</v>
      </c>
      <c r="L40" s="184"/>
      <c r="M40" s="184"/>
      <c r="N40" s="184"/>
      <c r="O40" s="183">
        <f>'Attached-DIB_GNESTE_Solar_Power'!AA342</f>
        <v>694.646657334</v>
      </c>
      <c r="P40" s="203"/>
    </row>
    <row r="41" spans="4:16">
      <c r="D41" s="183"/>
      <c r="E41" s="183" t="s">
        <v>11</v>
      </c>
      <c r="F41" s="185">
        <f>Attached_WEO2023!B17</f>
        <v>710</v>
      </c>
      <c r="G41" s="186">
        <f>Attached_WEO2023!F17</f>
        <v>780</v>
      </c>
      <c r="H41" s="188">
        <f>'Attached-IRENA2024 report'!J13</f>
        <v>711.328186596699</v>
      </c>
      <c r="I41" s="204">
        <f>'Attached-IEA2020Projected Costs'!K62</f>
        <v>638.035261492125</v>
      </c>
      <c r="J41" s="204">
        <f>'Attached-IEA2020Projected Costs'!L62</f>
        <v>650.30629418986</v>
      </c>
      <c r="K41" s="204">
        <f>'Attached-IEA2020Projected Costs'!M62</f>
        <v>659.359717665302</v>
      </c>
      <c r="L41" s="184"/>
      <c r="M41" s="184"/>
      <c r="N41" s="184"/>
      <c r="O41" s="183">
        <f>AVERAGE('Attached-DIB_GNESTE_Solar_Power'!W25,'Attached-DIB_GNESTE_Solar_Power'!V135,'Attached-DIB_GNESTE_Solar_Power'!AA343)</f>
        <v>670.571785346333</v>
      </c>
      <c r="P41" s="203"/>
    </row>
    <row r="42" s="13" customFormat="1" spans="4:16">
      <c r="D42" s="183"/>
      <c r="E42" s="190" t="s">
        <v>78</v>
      </c>
      <c r="F42" s="183"/>
      <c r="G42" s="184"/>
      <c r="H42" s="188">
        <f>'Attached-IRENA2024 report'!J17</f>
        <v>1205.26012257957</v>
      </c>
      <c r="I42" s="204">
        <f>'Attached-IEA2020Projected Costs'!K36</f>
        <v>1244.04187033793</v>
      </c>
      <c r="J42" s="204">
        <f>'Attached-IEA2020Projected Costs'!L36</f>
        <v>1267.96794369094</v>
      </c>
      <c r="K42" s="204">
        <f>'Attached-IEA2020Projected Costs'!M36</f>
        <v>1285.62031896407</v>
      </c>
      <c r="L42" s="205">
        <f>'Attached-IEA2020Projected Costs'!K35</f>
        <v>1258.55886660528</v>
      </c>
      <c r="M42" s="205">
        <f>'Attached-IEA2020Projected Costs'!L35</f>
        <v>1282.76413853339</v>
      </c>
      <c r="N42" s="205">
        <f>'Attached-IEA2020Projected Costs'!M35</f>
        <v>1300.62250322863</v>
      </c>
      <c r="O42" s="183"/>
      <c r="P42" s="203"/>
    </row>
    <row r="43" spans="4:37">
      <c r="D43" s="183"/>
      <c r="E43" s="190" t="s">
        <v>79</v>
      </c>
      <c r="F43" s="183"/>
      <c r="G43" s="184"/>
      <c r="H43" s="188">
        <f>'Attached-IRENA2024 report'!J45</f>
        <v>988.628122847266</v>
      </c>
      <c r="I43" s="204">
        <f>'Attached-IEA2020Projected Costs'!K7</f>
        <v>895.147868712427</v>
      </c>
      <c r="J43" s="204">
        <f>'Attached-IEA2020Projected Costs'!L7</f>
        <v>912.363827499077</v>
      </c>
      <c r="K43" s="204">
        <f>'Attached-IEA2020Projected Costs'!M7</f>
        <v>925.065559233527</v>
      </c>
      <c r="L43" s="184"/>
      <c r="M43" s="184"/>
      <c r="N43" s="184"/>
      <c r="O43" s="183">
        <f>AVERAGE('Attached-DIB_GNESTE_Solar_Power'!AA19:AA21)</f>
        <v>932.2705</v>
      </c>
      <c r="P43" s="203"/>
      <c r="V43" s="175" t="s">
        <v>11</v>
      </c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</row>
    <row r="44" s="172" customFormat="1" spans="4:37">
      <c r="D44" s="194"/>
      <c r="E44" s="469" t="s">
        <v>80</v>
      </c>
      <c r="F44" s="194"/>
      <c r="G44" s="194"/>
      <c r="H44" s="194">
        <f>'Attached-IRENA2024 report'!J78</f>
        <v>798</v>
      </c>
      <c r="I44" s="194"/>
      <c r="J44" s="194"/>
      <c r="K44" s="194"/>
      <c r="L44" s="194"/>
      <c r="M44" s="194"/>
      <c r="N44" s="194"/>
      <c r="O44" s="194">
        <f>AVERAGE('Attached-DIB_GNESTE_Solar_Power'!V3:V4,'Attached-DIB_GNESTE_Solar_Power'!V133)</f>
        <v>1913.40285</v>
      </c>
      <c r="P44" s="206"/>
      <c r="V44" s="212"/>
      <c r="W44" s="213"/>
      <c r="X44" s="212" t="s">
        <v>40</v>
      </c>
      <c r="Y44" s="212"/>
      <c r="Z44" s="212"/>
      <c r="AA44" s="212"/>
      <c r="AB44" s="212"/>
      <c r="AC44" s="213"/>
      <c r="AD44" s="212" t="s">
        <v>41</v>
      </c>
      <c r="AE44" s="212"/>
      <c r="AF44" s="212"/>
      <c r="AG44" s="212"/>
      <c r="AH44" s="212"/>
      <c r="AI44" s="223"/>
      <c r="AJ44" s="223"/>
      <c r="AK44" s="223"/>
    </row>
    <row r="45" s="172" customFormat="1" spans="4:37">
      <c r="D45" s="194"/>
      <c r="E45" s="194" t="s">
        <v>81</v>
      </c>
      <c r="F45" s="194"/>
      <c r="G45" s="194"/>
      <c r="H45" s="194"/>
      <c r="I45" s="194"/>
      <c r="J45" s="194"/>
      <c r="K45" s="194"/>
      <c r="L45" s="194"/>
      <c r="M45" s="194"/>
      <c r="N45" s="194"/>
      <c r="O45" s="194">
        <f>AVERAGE('Attached-DIB_GNESTE_Solar_Power'!V5:V6)</f>
        <v>2262.804</v>
      </c>
      <c r="P45" s="206"/>
      <c r="V45" s="214">
        <v>2023</v>
      </c>
      <c r="W45" s="215"/>
      <c r="X45" s="214">
        <v>2030</v>
      </c>
      <c r="Y45" s="214">
        <v>2035</v>
      </c>
      <c r="Z45" s="214">
        <v>2040</v>
      </c>
      <c r="AA45" s="214">
        <v>2045</v>
      </c>
      <c r="AB45" s="214">
        <v>2050</v>
      </c>
      <c r="AC45" s="215"/>
      <c r="AD45" s="214">
        <v>2030</v>
      </c>
      <c r="AE45" s="214">
        <v>2035</v>
      </c>
      <c r="AF45" s="214">
        <v>2040</v>
      </c>
      <c r="AG45" s="214">
        <v>2045</v>
      </c>
      <c r="AH45" s="214">
        <v>2050</v>
      </c>
      <c r="AI45" s="226"/>
      <c r="AJ45" s="226"/>
      <c r="AK45" s="226"/>
    </row>
    <row r="46" s="172" customFormat="1" spans="4:37">
      <c r="D46" s="194"/>
      <c r="E46" s="194" t="s">
        <v>82</v>
      </c>
      <c r="F46" s="194"/>
      <c r="G46" s="194"/>
      <c r="H46" s="194"/>
      <c r="I46" s="194"/>
      <c r="J46" s="194"/>
      <c r="K46" s="194"/>
      <c r="L46" s="194"/>
      <c r="M46" s="194"/>
      <c r="N46" s="194"/>
      <c r="O46" s="194">
        <f>AVERAGE('Attached-DIB_GNESTE_Solar_Power'!V7:V8)</f>
        <v>2229.198</v>
      </c>
      <c r="P46" s="206"/>
      <c r="V46" s="216">
        <v>94.77</v>
      </c>
      <c r="W46" s="216"/>
      <c r="X46" s="216">
        <v>372.48</v>
      </c>
      <c r="Y46" s="216">
        <v>645.98</v>
      </c>
      <c r="Z46" s="216">
        <v>934.4</v>
      </c>
      <c r="AA46" s="216">
        <v>1201.1</v>
      </c>
      <c r="AB46" s="216">
        <v>1429.1</v>
      </c>
      <c r="AC46" s="231"/>
      <c r="AD46" s="216">
        <v>385.32</v>
      </c>
      <c r="AE46" s="216">
        <v>767.79</v>
      </c>
      <c r="AF46" s="216">
        <v>1243.49</v>
      </c>
      <c r="AG46" s="216">
        <v>1584.94</v>
      </c>
      <c r="AH46" s="216">
        <v>1882.45</v>
      </c>
      <c r="AI46" s="227"/>
      <c r="AJ46" s="227"/>
      <c r="AK46" s="227"/>
    </row>
    <row r="47" s="172" customFormat="1" spans="4:16">
      <c r="D47" s="194"/>
      <c r="E47" s="194" t="s">
        <v>83</v>
      </c>
      <c r="F47" s="194"/>
      <c r="G47" s="194"/>
      <c r="H47" s="194"/>
      <c r="I47" s="194"/>
      <c r="J47" s="194"/>
      <c r="K47" s="194"/>
      <c r="L47" s="194"/>
      <c r="M47" s="194"/>
      <c r="N47" s="194"/>
      <c r="O47" s="194">
        <f>AVERAGE('Attached-DIB_GNESTE_Solar_Power'!V136)</f>
        <v>1108.15315</v>
      </c>
      <c r="P47" s="206"/>
    </row>
    <row r="48" spans="4:16">
      <c r="D48" s="183"/>
      <c r="E48" s="183" t="s">
        <v>84</v>
      </c>
      <c r="F48" s="183"/>
      <c r="G48" s="184"/>
      <c r="H48" s="183"/>
      <c r="I48" s="183"/>
      <c r="J48" s="183"/>
      <c r="K48" s="183"/>
      <c r="L48" s="184"/>
      <c r="M48" s="184"/>
      <c r="N48" s="184"/>
      <c r="O48" s="183">
        <f>'Attached-DIB_GNESTE_Solar_Power'!V11</f>
        <v>2254.9626</v>
      </c>
      <c r="P48" s="203"/>
    </row>
    <row r="49" s="172" customFormat="1" spans="4:16">
      <c r="D49" s="194"/>
      <c r="E49" s="194" t="s">
        <v>85</v>
      </c>
      <c r="F49" s="194"/>
      <c r="G49" s="194"/>
      <c r="H49" s="194"/>
      <c r="I49" s="194"/>
      <c r="J49" s="194"/>
      <c r="K49" s="194"/>
      <c r="L49" s="194"/>
      <c r="M49" s="194"/>
      <c r="N49" s="194"/>
      <c r="O49" s="194">
        <f>'Attached-DIB_GNESTE_Solar_Power'!AA344</f>
        <v>718.766859876</v>
      </c>
      <c r="P49" s="206"/>
    </row>
    <row r="50" spans="4:16">
      <c r="D50" s="183"/>
      <c r="E50" s="183" t="s">
        <v>86</v>
      </c>
      <c r="F50" s="183"/>
      <c r="G50" s="184"/>
      <c r="H50" s="183"/>
      <c r="I50" s="183"/>
      <c r="J50" s="183"/>
      <c r="K50" s="183"/>
      <c r="L50" s="184"/>
      <c r="M50" s="184"/>
      <c r="N50" s="184"/>
      <c r="O50" s="183">
        <f>'Attached-DIB_GNESTE_Solar_Power'!AA345</f>
        <v>922.20861766</v>
      </c>
      <c r="P50" s="203"/>
    </row>
    <row r="51" spans="4:22">
      <c r="D51" s="182" t="s">
        <v>87</v>
      </c>
      <c r="E51" s="182"/>
      <c r="F51" s="183"/>
      <c r="G51" s="184"/>
      <c r="H51" s="188">
        <f>'Attached-IRENA2024 report'!AB11</f>
        <v>757.687831048275</v>
      </c>
      <c r="I51" s="183"/>
      <c r="J51" s="183"/>
      <c r="K51" s="183"/>
      <c r="L51" s="184"/>
      <c r="M51" s="184"/>
      <c r="N51" s="184"/>
      <c r="O51" s="183">
        <f>AVERAGE('Attached-DIB_GNESTE_Solar_Power'!W76:W322)</f>
        <v>918.0296</v>
      </c>
      <c r="V51" t="s">
        <v>8</v>
      </c>
    </row>
    <row r="52" spans="22:36">
      <c r="V52" s="212"/>
      <c r="W52" s="213"/>
      <c r="X52" s="212" t="s">
        <v>40</v>
      </c>
      <c r="Y52" s="212"/>
      <c r="Z52" s="212"/>
      <c r="AA52" s="212"/>
      <c r="AB52" s="212"/>
      <c r="AC52" s="213"/>
      <c r="AD52" s="212" t="s">
        <v>41</v>
      </c>
      <c r="AE52" s="212"/>
      <c r="AF52" s="212"/>
      <c r="AG52" s="212"/>
      <c r="AH52" s="212"/>
      <c r="AI52" s="212"/>
      <c r="AJ52" s="212"/>
    </row>
    <row r="53" spans="22:36">
      <c r="V53" s="214">
        <v>2023</v>
      </c>
      <c r="W53" s="215"/>
      <c r="X53" s="214">
        <v>2030</v>
      </c>
      <c r="Y53" s="214">
        <v>2035</v>
      </c>
      <c r="Z53" s="214">
        <v>2040</v>
      </c>
      <c r="AA53" s="214">
        <v>2045</v>
      </c>
      <c r="AB53" s="214">
        <v>2050</v>
      </c>
      <c r="AC53" s="215"/>
      <c r="AD53" s="214">
        <v>2030</v>
      </c>
      <c r="AE53" s="214">
        <v>2035</v>
      </c>
      <c r="AF53" s="214">
        <v>2040</v>
      </c>
      <c r="AG53" s="214">
        <v>2045</v>
      </c>
      <c r="AH53" s="214">
        <v>2050</v>
      </c>
      <c r="AI53" s="214"/>
      <c r="AJ53" s="214"/>
    </row>
    <row r="54" spans="22:36">
      <c r="V54" s="216">
        <v>108.16</v>
      </c>
      <c r="W54" s="216"/>
      <c r="X54" s="216">
        <v>169.15</v>
      </c>
      <c r="Y54" s="216">
        <v>199.96</v>
      </c>
      <c r="Z54" s="216">
        <v>210.54</v>
      </c>
      <c r="AA54" s="216">
        <v>211.48</v>
      </c>
      <c r="AB54" s="216">
        <v>211.51</v>
      </c>
      <c r="AC54" s="231"/>
      <c r="AD54" s="216">
        <v>172.08</v>
      </c>
      <c r="AE54" s="216">
        <v>204.21</v>
      </c>
      <c r="AF54" s="216">
        <v>219.15</v>
      </c>
      <c r="AG54" s="216">
        <v>222.29</v>
      </c>
      <c r="AH54" s="216">
        <v>222.41</v>
      </c>
      <c r="AI54" s="216"/>
      <c r="AJ54" s="216"/>
    </row>
    <row r="58" ht="23.5" spans="2:34">
      <c r="B58" s="196" t="s">
        <v>88</v>
      </c>
      <c r="E58" s="177" t="s">
        <v>89</v>
      </c>
      <c r="F58" s="177"/>
      <c r="G58" s="197"/>
      <c r="H58" s="198" t="s">
        <v>90</v>
      </c>
      <c r="I58" s="198"/>
      <c r="J58" s="198"/>
      <c r="K58" s="207" t="s">
        <v>20</v>
      </c>
      <c r="L58" s="207"/>
      <c r="M58" s="207"/>
      <c r="N58" s="208" t="s">
        <v>91</v>
      </c>
      <c r="O58" s="208"/>
      <c r="P58" s="208"/>
      <c r="V58" s="212"/>
      <c r="W58" s="213"/>
      <c r="X58" s="212" t="s">
        <v>40</v>
      </c>
      <c r="Y58" s="212"/>
      <c r="Z58" s="212"/>
      <c r="AA58" s="212"/>
      <c r="AB58" s="212"/>
      <c r="AC58" s="213"/>
      <c r="AD58" s="212" t="s">
        <v>41</v>
      </c>
      <c r="AE58" s="212"/>
      <c r="AF58" s="212"/>
      <c r="AG58" s="212"/>
      <c r="AH58" s="212"/>
    </row>
    <row r="59" spans="4:45">
      <c r="D59" s="182"/>
      <c r="E59" s="182" t="s">
        <v>92</v>
      </c>
      <c r="F59" s="183" t="s">
        <v>93</v>
      </c>
      <c r="G59" s="184" t="s">
        <v>94</v>
      </c>
      <c r="H59" s="199"/>
      <c r="I59" s="199"/>
      <c r="J59" s="199"/>
      <c r="K59" s="155"/>
      <c r="L59" s="209"/>
      <c r="M59" s="209"/>
      <c r="N59" s="210"/>
      <c r="O59" s="211"/>
      <c r="P59" s="211"/>
      <c r="V59" s="214">
        <v>2023</v>
      </c>
      <c r="W59" s="215"/>
      <c r="X59" s="214">
        <v>2030</v>
      </c>
      <c r="Y59" s="214">
        <v>2035</v>
      </c>
      <c r="Z59" s="214">
        <v>2040</v>
      </c>
      <c r="AA59" s="214">
        <v>2045</v>
      </c>
      <c r="AB59" s="214">
        <v>2050</v>
      </c>
      <c r="AC59" s="215"/>
      <c r="AD59" s="214">
        <v>2030</v>
      </c>
      <c r="AE59" s="214">
        <v>2035</v>
      </c>
      <c r="AF59" s="214">
        <v>2040</v>
      </c>
      <c r="AG59" s="214">
        <v>2045</v>
      </c>
      <c r="AH59" s="214">
        <v>2050</v>
      </c>
      <c r="AM59" t="s">
        <v>95</v>
      </c>
      <c r="AO59">
        <v>2023</v>
      </c>
      <c r="AP59" t="s">
        <v>90</v>
      </c>
      <c r="AQ59" t="s">
        <v>96</v>
      </c>
      <c r="AR59" t="s">
        <v>20</v>
      </c>
      <c r="AS59" t="s">
        <v>21</v>
      </c>
    </row>
    <row r="60" spans="4:45">
      <c r="D60" s="182" t="str">
        <f t="shared" ref="D60:F60" si="0">D83</f>
        <v>European Union</v>
      </c>
      <c r="E60" s="182">
        <f t="shared" si="0"/>
        <v>750</v>
      </c>
      <c r="F60" s="182">
        <f t="shared" si="0"/>
        <v>990</v>
      </c>
      <c r="G60" s="184">
        <f t="shared" ref="G60:G67" si="1">F60-E60</f>
        <v>240</v>
      </c>
      <c r="H60" s="364">
        <f>J117</f>
        <v>480</v>
      </c>
      <c r="I60" s="161">
        <f>J127</f>
        <v>650</v>
      </c>
      <c r="J60" s="199">
        <f t="shared" ref="J60:J67" si="2">I60-H60</f>
        <v>170</v>
      </c>
      <c r="K60" s="299">
        <f>H60*(0.8)^(LOG((AD19/X19),2))</f>
        <v>458.318026037446</v>
      </c>
      <c r="L60" s="246">
        <f>I60*(0.8)^(LOG((AD19/X19),2))</f>
        <v>620.638993592374</v>
      </c>
      <c r="M60" s="299">
        <f t="shared" ref="M60:M67" si="3">L60-K60</f>
        <v>162.320967554929</v>
      </c>
      <c r="N60" s="439" t="s">
        <v>97</v>
      </c>
      <c r="O60" s="440"/>
      <c r="P60" s="440"/>
      <c r="V60" s="216">
        <v>17.04</v>
      </c>
      <c r="W60" s="216"/>
      <c r="X60" s="216">
        <v>81.43</v>
      </c>
      <c r="Y60" s="216">
        <v>152.02</v>
      </c>
      <c r="Z60" s="216">
        <v>220.44</v>
      </c>
      <c r="AA60" s="216">
        <v>285.15</v>
      </c>
      <c r="AB60" s="216">
        <v>332.13</v>
      </c>
      <c r="AC60" s="231"/>
      <c r="AD60" s="216">
        <v>175.19</v>
      </c>
      <c r="AE60" s="216">
        <v>347.96</v>
      </c>
      <c r="AF60" s="216">
        <v>535.77</v>
      </c>
      <c r="AG60" s="216">
        <v>737.89</v>
      </c>
      <c r="AH60" s="216">
        <v>945.41</v>
      </c>
      <c r="AN60" s="182" t="s">
        <v>6</v>
      </c>
      <c r="AO60" s="234">
        <f>V19</f>
        <v>266.93</v>
      </c>
      <c r="AP60" s="234">
        <f>X19</f>
        <v>646.76</v>
      </c>
      <c r="AQ60" s="234">
        <f>AB19</f>
        <v>1078.1</v>
      </c>
      <c r="AR60" s="234">
        <f>AD19</f>
        <v>746.62</v>
      </c>
      <c r="AS60" s="234">
        <f>AH19</f>
        <v>1091.41</v>
      </c>
    </row>
    <row r="61" spans="4:45">
      <c r="D61" s="182" t="str">
        <f t="shared" ref="D61:F61" si="4">D89</f>
        <v>Brazil</v>
      </c>
      <c r="E61" s="182">
        <f t="shared" si="4"/>
        <v>730</v>
      </c>
      <c r="F61" s="182">
        <f t="shared" si="4"/>
        <v>560</v>
      </c>
      <c r="G61" s="184">
        <f t="shared" si="1"/>
        <v>-170</v>
      </c>
      <c r="H61" s="163">
        <f>J125</f>
        <v>460</v>
      </c>
      <c r="I61" s="163">
        <f>J135</f>
        <v>350</v>
      </c>
      <c r="J61" s="199">
        <f t="shared" si="2"/>
        <v>-110</v>
      </c>
      <c r="K61" s="299">
        <f>H61*(0.8)^(LOG((AD13/X13),2))</f>
        <v>405.976877366561</v>
      </c>
      <c r="L61" s="246">
        <f>I61*(0.8)^(LOG((AD13/X13),2))</f>
        <v>308.895450170209</v>
      </c>
      <c r="M61" s="299">
        <f t="shared" si="3"/>
        <v>-97.0814271963515</v>
      </c>
      <c r="N61" s="439"/>
      <c r="O61" s="440"/>
      <c r="P61" s="440"/>
      <c r="AN61" s="182" t="s">
        <v>14</v>
      </c>
      <c r="AO61" s="234">
        <f>V13</f>
        <v>41.48</v>
      </c>
      <c r="AP61" s="234">
        <f>X13</f>
        <v>91.81</v>
      </c>
      <c r="AQ61" s="234">
        <f>AB13</f>
        <v>150.96</v>
      </c>
      <c r="AR61" s="234">
        <f>AD13</f>
        <v>135.34</v>
      </c>
      <c r="AS61" s="234">
        <f>AH13</f>
        <v>245.87</v>
      </c>
    </row>
    <row r="62" spans="4:45">
      <c r="D62" s="182" t="str">
        <f t="shared" ref="D62:F62" si="5">D84</f>
        <v>United States</v>
      </c>
      <c r="E62" s="182">
        <f t="shared" si="5"/>
        <v>1110</v>
      </c>
      <c r="F62" s="182">
        <f t="shared" si="5"/>
        <v>3460</v>
      </c>
      <c r="G62" s="184">
        <f t="shared" si="1"/>
        <v>2350</v>
      </c>
      <c r="H62" s="161">
        <f>J118</f>
        <v>690</v>
      </c>
      <c r="I62" s="161">
        <f>J128</f>
        <v>2200</v>
      </c>
      <c r="J62" s="199">
        <f t="shared" si="2"/>
        <v>1510</v>
      </c>
      <c r="K62" s="299">
        <f>H62*(0.8)^(LOG((AD6/X6),2))</f>
        <v>637.741241886477</v>
      </c>
      <c r="L62" s="246">
        <f>I62*(0.8)^(LOG((AD6/X6),2))</f>
        <v>2033.37787268152</v>
      </c>
      <c r="M62" s="299">
        <f t="shared" si="3"/>
        <v>1395.63663079504</v>
      </c>
      <c r="N62" s="439"/>
      <c r="O62" s="440"/>
      <c r="P62" s="440"/>
      <c r="AN62" s="182" t="s">
        <v>7</v>
      </c>
      <c r="AO62" s="234">
        <f>V6</f>
        <v>169.75</v>
      </c>
      <c r="AP62" s="234">
        <f>X6</f>
        <v>563.37</v>
      </c>
      <c r="AQ62" s="234">
        <f>AB6</f>
        <v>1894.82</v>
      </c>
      <c r="AR62" s="234">
        <f>AD6</f>
        <v>719.52</v>
      </c>
      <c r="AS62" s="234">
        <f>AH6</f>
        <v>2057.92</v>
      </c>
    </row>
    <row r="63" spans="4:45">
      <c r="D63" s="182" t="str">
        <f t="shared" ref="D63:F63" si="6">D86</f>
        <v>Russia</v>
      </c>
      <c r="E63" s="182">
        <f t="shared" si="6"/>
        <v>1250</v>
      </c>
      <c r="F63" s="182">
        <f t="shared" si="6"/>
        <v>1610</v>
      </c>
      <c r="G63" s="184">
        <f t="shared" si="1"/>
        <v>360</v>
      </c>
      <c r="H63" s="161">
        <f>J120</f>
        <v>820</v>
      </c>
      <c r="I63" s="161">
        <f>J130</f>
        <v>1080</v>
      </c>
      <c r="J63" s="199">
        <f t="shared" si="2"/>
        <v>260</v>
      </c>
      <c r="K63" s="299">
        <f>H63*(0.8)^(LOG((AD25/X25),2))</f>
        <v>748.780422474067</v>
      </c>
      <c r="L63" s="246">
        <f>I63*(0.8)^(LOG((AD25/X25),2))</f>
        <v>986.198605209747</v>
      </c>
      <c r="M63" s="299">
        <f t="shared" si="3"/>
        <v>237.41818273568</v>
      </c>
      <c r="N63" s="439"/>
      <c r="O63" s="440"/>
      <c r="P63" s="440"/>
      <c r="AN63" s="182" t="s">
        <v>9</v>
      </c>
      <c r="AO63" s="234">
        <f>V25</f>
        <v>2.13</v>
      </c>
      <c r="AP63" s="234">
        <f>X25</f>
        <v>4.14</v>
      </c>
      <c r="AQ63" s="234">
        <f>AB25</f>
        <v>8.41</v>
      </c>
      <c r="AR63" s="234">
        <f>AD25</f>
        <v>5.49</v>
      </c>
      <c r="AS63" s="234">
        <f>AH25</f>
        <v>19.87</v>
      </c>
    </row>
    <row r="64" spans="4:45">
      <c r="D64" s="182" t="str">
        <f t="shared" ref="D64:F64" si="7">D87</f>
        <v>China</v>
      </c>
      <c r="E64" s="182">
        <f t="shared" si="7"/>
        <v>670</v>
      </c>
      <c r="F64" s="182">
        <f t="shared" si="7"/>
        <v>750</v>
      </c>
      <c r="G64" s="184">
        <f t="shared" si="1"/>
        <v>80</v>
      </c>
      <c r="H64" s="161">
        <f>J121</f>
        <v>410</v>
      </c>
      <c r="I64" s="364">
        <f>J131</f>
        <v>450</v>
      </c>
      <c r="J64" s="199">
        <f t="shared" si="2"/>
        <v>40</v>
      </c>
      <c r="K64" s="299">
        <f>H64*(0.8)^(LOG((AD31/X31),2))</f>
        <v>407.911178831039</v>
      </c>
      <c r="L64" s="246">
        <f>I64*(0.8)^(LOG((AD31/X31),2))</f>
        <v>447.70739139992</v>
      </c>
      <c r="M64" s="299">
        <f t="shared" si="3"/>
        <v>39.7962125688819</v>
      </c>
      <c r="N64" s="439"/>
      <c r="O64" s="440"/>
      <c r="P64" s="440"/>
      <c r="AN64" s="182" t="s">
        <v>10</v>
      </c>
      <c r="AO64" s="234">
        <f>V31</f>
        <v>688.24</v>
      </c>
      <c r="AP64" s="234">
        <f>X31</f>
        <v>3263.4</v>
      </c>
      <c r="AQ64" s="234">
        <f>AB31</f>
        <v>9432.63</v>
      </c>
      <c r="AR64" s="234">
        <f>AD31</f>
        <v>3315.59</v>
      </c>
      <c r="AS64" s="234">
        <f>AH31</f>
        <v>9597.53</v>
      </c>
    </row>
    <row r="65" s="175" customFormat="1" spans="4:45">
      <c r="D65" s="251" t="str">
        <f t="shared" ref="D65:F65" si="8">D88</f>
        <v>India</v>
      </c>
      <c r="E65" s="251">
        <f t="shared" si="8"/>
        <v>710</v>
      </c>
      <c r="F65" s="251">
        <f t="shared" si="8"/>
        <v>780</v>
      </c>
      <c r="G65" s="184">
        <f t="shared" si="1"/>
        <v>70</v>
      </c>
      <c r="H65" s="161">
        <f>J122</f>
        <v>450</v>
      </c>
      <c r="I65" s="364">
        <f>J132</f>
        <v>490</v>
      </c>
      <c r="J65" s="199">
        <f t="shared" si="2"/>
        <v>40</v>
      </c>
      <c r="K65" s="368">
        <f>H65*(0.8)^(LOG((AD46/X46),2))</f>
        <v>445.117004011866</v>
      </c>
      <c r="L65" s="368">
        <f>I65*(0.8)^(LOG((AD46/X46),2))</f>
        <v>484.682959924032</v>
      </c>
      <c r="M65" s="299">
        <f t="shared" si="3"/>
        <v>39.5659559121659</v>
      </c>
      <c r="N65" s="439"/>
      <c r="O65" s="440"/>
      <c r="P65" s="440"/>
      <c r="AN65" s="251" t="s">
        <v>11</v>
      </c>
      <c r="AO65" s="447">
        <f>V46</f>
        <v>94.77</v>
      </c>
      <c r="AP65" s="447">
        <f>X46</f>
        <v>372.48</v>
      </c>
      <c r="AQ65" s="447">
        <f>AB46</f>
        <v>1429.1</v>
      </c>
      <c r="AR65" s="447">
        <f>AD46</f>
        <v>385.32</v>
      </c>
      <c r="AS65" s="447">
        <f>AH46</f>
        <v>1882.45</v>
      </c>
    </row>
    <row r="66" spans="4:45">
      <c r="D66" s="173" t="str">
        <f t="shared" ref="D66:F66" si="9">D85</f>
        <v>Japan</v>
      </c>
      <c r="E66" s="173">
        <f t="shared" si="9"/>
        <v>1880</v>
      </c>
      <c r="F66" s="173">
        <f t="shared" si="9"/>
        <v>1850</v>
      </c>
      <c r="G66" s="336">
        <f t="shared" si="1"/>
        <v>-30</v>
      </c>
      <c r="H66" s="364">
        <f>J119</f>
        <v>1260</v>
      </c>
      <c r="I66" s="161">
        <f>J129</f>
        <v>1280</v>
      </c>
      <c r="J66" s="199">
        <f t="shared" si="2"/>
        <v>20</v>
      </c>
      <c r="K66" s="299">
        <f>H66*(0.8)^(LOG((AD54/X54),2))</f>
        <v>1253.05310830805</v>
      </c>
      <c r="L66" s="246">
        <f>I66*(0.8)^(LOG((AD54/X54),2))</f>
        <v>1272.94284018596</v>
      </c>
      <c r="M66" s="246">
        <f t="shared" si="3"/>
        <v>19.8897318779054</v>
      </c>
      <c r="N66" s="439"/>
      <c r="O66" s="440"/>
      <c r="P66" s="440"/>
      <c r="AN66" s="173" t="s">
        <v>8</v>
      </c>
      <c r="AO66" s="234">
        <f>V54</f>
        <v>108.16</v>
      </c>
      <c r="AP66" s="234">
        <f>X54</f>
        <v>169.15</v>
      </c>
      <c r="AQ66" s="234">
        <f>AB54</f>
        <v>211.51</v>
      </c>
      <c r="AR66" s="234">
        <f>AD54</f>
        <v>172.08</v>
      </c>
      <c r="AS66" s="234">
        <f>AH54</f>
        <v>222.41</v>
      </c>
    </row>
    <row r="67" spans="4:45">
      <c r="D67" s="183" t="s">
        <v>85</v>
      </c>
      <c r="E67" s="441">
        <f>AVERAGE(H44,O44:O47,O49)</f>
        <v>1505.05414331267</v>
      </c>
      <c r="F67" s="252">
        <f>'Summarize-ForReg(2030)'!F64</f>
        <v>1605.44687781843</v>
      </c>
      <c r="G67" s="184">
        <f t="shared" si="1"/>
        <v>100.392734505761</v>
      </c>
      <c r="H67" s="13">
        <f>E67*(0.8)^(LOG((X39/V39),2))</f>
        <v>1110.25018422535</v>
      </c>
      <c r="I67" s="13">
        <f>F67*(0.8)^(LOG((X39/V39),2))</f>
        <v>1184.30801960301</v>
      </c>
      <c r="J67" s="13">
        <f t="shared" si="2"/>
        <v>74.0578353776611</v>
      </c>
      <c r="K67" s="299">
        <f>E67*(0.8)^(LOG((AD39/V39),2))</f>
        <v>887.561219592132</v>
      </c>
      <c r="L67" s="246">
        <f>F67*(0.8)^(LOG((AD39/V39),2))</f>
        <v>946.764869023642</v>
      </c>
      <c r="M67" s="299">
        <f t="shared" si="3"/>
        <v>59.2036494315099</v>
      </c>
      <c r="N67" s="399" t="s">
        <v>98</v>
      </c>
      <c r="O67" s="399" t="s">
        <v>98</v>
      </c>
      <c r="P67" s="399" t="s">
        <v>98</v>
      </c>
      <c r="AN67" s="183" t="s">
        <v>85</v>
      </c>
      <c r="AO67" s="234">
        <f>V39</f>
        <v>32.13</v>
      </c>
      <c r="AP67" s="234">
        <f>X39</f>
        <v>82.67</v>
      </c>
      <c r="AQ67" s="234">
        <f>AB39</f>
        <v>408.09</v>
      </c>
      <c r="AR67" s="234">
        <f>AD39</f>
        <v>165.71</v>
      </c>
      <c r="AS67" s="234">
        <f>AH39</f>
        <v>1074.26</v>
      </c>
    </row>
    <row r="68" spans="4:16">
      <c r="D68" s="182"/>
      <c r="E68" s="182"/>
      <c r="F68" s="183"/>
      <c r="G68" s="184"/>
      <c r="H68" s="199"/>
      <c r="I68" s="199"/>
      <c r="J68" s="199"/>
      <c r="K68" s="155"/>
      <c r="L68" s="209"/>
      <c r="M68" s="155"/>
      <c r="N68" s="210"/>
      <c r="O68" s="211"/>
      <c r="P68" s="211"/>
    </row>
    <row r="70" s="174" customFormat="1" spans="5:16">
      <c r="E70" s="254"/>
      <c r="F70" s="176"/>
      <c r="G70" s="255"/>
      <c r="H70" s="211"/>
      <c r="I70" s="211"/>
      <c r="J70" s="211"/>
      <c r="K70" s="176"/>
      <c r="L70" s="255"/>
      <c r="M70" s="255"/>
      <c r="N70" s="210"/>
      <c r="O70" s="211"/>
      <c r="P70" s="211"/>
    </row>
    <row r="71" s="174" customFormat="1" spans="5:16">
      <c r="E71" s="254"/>
      <c r="F71" s="176"/>
      <c r="G71" s="255"/>
      <c r="H71" s="211"/>
      <c r="I71" s="211"/>
      <c r="J71" s="211"/>
      <c r="K71" s="176"/>
      <c r="L71" s="255"/>
      <c r="M71" s="255"/>
      <c r="N71" s="210"/>
      <c r="O71" s="211"/>
      <c r="P71" s="211"/>
    </row>
    <row r="72" s="174" customFormat="1" ht="23.5" spans="2:20">
      <c r="B72" s="181" t="s">
        <v>99</v>
      </c>
      <c r="D72" s="173"/>
      <c r="E72" s="174" t="s">
        <v>100</v>
      </c>
      <c r="F72" s="387" t="s">
        <v>90</v>
      </c>
      <c r="G72" s="388" t="s">
        <v>20</v>
      </c>
      <c r="H72" s="255"/>
      <c r="I72" s="155" t="s">
        <v>101</v>
      </c>
      <c r="J72" s="176"/>
      <c r="K72" s="176"/>
      <c r="L72" s="255"/>
      <c r="M72" s="255"/>
      <c r="N72" s="255"/>
      <c r="O72" s="176"/>
      <c r="P72" s="174" t="s">
        <v>100</v>
      </c>
      <c r="Q72" s="174" t="s">
        <v>90</v>
      </c>
      <c r="R72" s="174" t="s">
        <v>96</v>
      </c>
      <c r="S72" s="174" t="s">
        <v>20</v>
      </c>
      <c r="T72" s="174" t="s">
        <v>21</v>
      </c>
    </row>
    <row r="73" spans="4:20">
      <c r="D73" s="182" t="s">
        <v>6</v>
      </c>
      <c r="E73" s="389">
        <f>(E60*0.6+F60*0.4)*AO60/1000</f>
        <v>225.82278</v>
      </c>
      <c r="F73" s="389">
        <f>(H60*0.6+I60*0.4)*AP60/1000</f>
        <v>354.42448</v>
      </c>
      <c r="G73" s="391">
        <f>(K60*0.6+L60*0.4)*AR60/1000</f>
        <v>390.666236918422</v>
      </c>
      <c r="H73" s="51"/>
      <c r="I73" s="182" t="s">
        <v>6</v>
      </c>
      <c r="J73" s="272"/>
      <c r="O73" s="13" t="s">
        <v>6</v>
      </c>
      <c r="P73" s="176">
        <v>225.82278</v>
      </c>
      <c r="Q73">
        <v>354.42448</v>
      </c>
      <c r="R73">
        <v>422.6152</v>
      </c>
      <c r="S73">
        <v>453.590534951264</v>
      </c>
      <c r="T73">
        <v>586.772988878225</v>
      </c>
    </row>
    <row r="74" spans="4:20">
      <c r="D74" s="182" t="s">
        <v>14</v>
      </c>
      <c r="E74" s="389">
        <f t="shared" ref="E74:E79" si="10">(E61*0.6+F61*0.4)*AO61/1000</f>
        <v>27.45976</v>
      </c>
      <c r="F74" s="389">
        <f t="shared" ref="F74:F80" si="11">(H61*0.6+I61*0.4)*AP61/1000</f>
        <v>38.19296</v>
      </c>
      <c r="G74" s="391">
        <f t="shared" ref="G74:G80" si="12">(K61*0.6+L61*0.4)*AR61/1000</f>
        <v>49.6893104400886</v>
      </c>
      <c r="H74" s="51"/>
      <c r="I74" s="182" t="s">
        <v>14</v>
      </c>
      <c r="J74" s="272"/>
      <c r="O74" s="13" t="s">
        <v>14</v>
      </c>
      <c r="P74" s="176">
        <v>27.45976</v>
      </c>
      <c r="Q74">
        <v>38.19296</v>
      </c>
      <c r="R74">
        <v>45.58992</v>
      </c>
      <c r="S74">
        <v>61.2274173149362</v>
      </c>
      <c r="T74">
        <v>91.781678592339</v>
      </c>
    </row>
    <row r="75" spans="4:20">
      <c r="D75" s="182" t="s">
        <v>7</v>
      </c>
      <c r="E75" s="389">
        <f t="shared" si="10"/>
        <v>347.9875</v>
      </c>
      <c r="F75" s="389">
        <f t="shared" si="11"/>
        <v>729.00078</v>
      </c>
      <c r="G75" s="391">
        <f t="shared" si="12"/>
        <v>860.542965798019</v>
      </c>
      <c r="H75" s="51"/>
      <c r="I75" s="182" t="s">
        <v>7</v>
      </c>
      <c r="J75" s="272"/>
      <c r="O75" s="13" t="s">
        <v>7</v>
      </c>
      <c r="P75" s="176">
        <v>347.9875</v>
      </c>
      <c r="Q75">
        <v>729.00078</v>
      </c>
      <c r="R75">
        <v>1675.02088</v>
      </c>
      <c r="S75">
        <v>926.55835904294</v>
      </c>
      <c r="T75">
        <v>1889.44843334629</v>
      </c>
    </row>
    <row r="76" spans="4:20">
      <c r="D76" s="182" t="s">
        <v>9</v>
      </c>
      <c r="E76" s="389">
        <f t="shared" si="10"/>
        <v>2.96922</v>
      </c>
      <c r="F76" s="389">
        <f t="shared" si="11"/>
        <v>3.82536</v>
      </c>
      <c r="G76" s="391">
        <f t="shared" si="12"/>
        <v>4.63217484867018</v>
      </c>
      <c r="H76" s="51"/>
      <c r="I76" s="182" t="s">
        <v>9</v>
      </c>
      <c r="J76" s="272"/>
      <c r="O76" s="13" t="s">
        <v>9</v>
      </c>
      <c r="P76" s="176">
        <v>2.96922</v>
      </c>
      <c r="Q76">
        <v>3.82536</v>
      </c>
      <c r="R76">
        <v>5.5506</v>
      </c>
      <c r="S76">
        <v>5.64235779699316</v>
      </c>
      <c r="T76">
        <v>13.4973619694682</v>
      </c>
    </row>
    <row r="77" spans="4:20">
      <c r="D77" s="182" t="s">
        <v>10</v>
      </c>
      <c r="E77" s="389">
        <f t="shared" si="10"/>
        <v>483.14448</v>
      </c>
      <c r="F77" s="389">
        <f t="shared" si="11"/>
        <v>1390.2084</v>
      </c>
      <c r="G77" s="391">
        <f t="shared" si="12"/>
        <v>1405.24539519291</v>
      </c>
      <c r="H77" s="51"/>
      <c r="I77" s="182" t="s">
        <v>10</v>
      </c>
      <c r="J77" s="272"/>
      <c r="O77" s="13" t="s">
        <v>10</v>
      </c>
      <c r="P77" s="176">
        <v>483.14448</v>
      </c>
      <c r="Q77">
        <v>1390.2084</v>
      </c>
      <c r="R77">
        <v>2754.32796</v>
      </c>
      <c r="S77">
        <v>1403.06793030221</v>
      </c>
      <c r="T77">
        <v>2884.53477494262</v>
      </c>
    </row>
    <row r="78" spans="4:20">
      <c r="D78" s="251" t="s">
        <v>11</v>
      </c>
      <c r="E78" s="389">
        <f t="shared" si="10"/>
        <v>69.94026</v>
      </c>
      <c r="F78" s="389">
        <f t="shared" si="11"/>
        <v>173.57568</v>
      </c>
      <c r="G78" s="391">
        <f t="shared" si="12"/>
        <v>177.610705638683</v>
      </c>
      <c r="H78" s="51"/>
      <c r="I78" s="251" t="s">
        <v>11</v>
      </c>
      <c r="J78" s="272"/>
      <c r="O78" s="13" t="s">
        <v>11</v>
      </c>
      <c r="P78" s="176">
        <v>69.94026</v>
      </c>
      <c r="Q78">
        <v>173.57568</v>
      </c>
      <c r="R78">
        <v>445.8792</v>
      </c>
      <c r="S78">
        <v>181.040274077135</v>
      </c>
      <c r="T78">
        <v>530.762487584601</v>
      </c>
    </row>
    <row r="79" spans="4:20">
      <c r="D79" s="173" t="s">
        <v>8</v>
      </c>
      <c r="E79" s="389">
        <f t="shared" si="10"/>
        <v>202.04288</v>
      </c>
      <c r="F79" s="389">
        <f t="shared" si="11"/>
        <v>214.4822</v>
      </c>
      <c r="G79" s="391">
        <f t="shared" si="12"/>
        <v>216.99442890227</v>
      </c>
      <c r="H79" s="51"/>
      <c r="I79" s="387" t="s">
        <v>8</v>
      </c>
      <c r="J79" s="272"/>
      <c r="O79" s="13" t="s">
        <v>8</v>
      </c>
      <c r="P79" s="176">
        <v>202.04288</v>
      </c>
      <c r="Q79">
        <v>214.4822</v>
      </c>
      <c r="R79">
        <v>203.0496</v>
      </c>
      <c r="S79">
        <v>276.812726175482</v>
      </c>
      <c r="T79">
        <v>329.412046582426</v>
      </c>
    </row>
    <row r="80" spans="4:20">
      <c r="D80" s="183" t="s">
        <v>85</v>
      </c>
      <c r="E80" s="392">
        <f>(E67*0.6+F67*0.4)*V39/1000</f>
        <v>49.6476370485041</v>
      </c>
      <c r="F80" s="393">
        <f t="shared" si="11"/>
        <v>94.2333272301782</v>
      </c>
      <c r="G80" s="391">
        <f t="shared" si="12"/>
        <v>151.00202439753</v>
      </c>
      <c r="H80" s="51"/>
      <c r="O80" s="13" t="s">
        <v>85</v>
      </c>
      <c r="P80" s="176">
        <v>49.6476370485041</v>
      </c>
      <c r="Q80">
        <v>94.2333272301782</v>
      </c>
      <c r="R80">
        <v>278.217868786672</v>
      </c>
      <c r="S80">
        <v>151.00202439753</v>
      </c>
      <c r="T80">
        <v>536.308753830223</v>
      </c>
    </row>
    <row r="83" s="369" customFormat="1" spans="1:16">
      <c r="A83" s="369"/>
      <c r="D83" s="374" t="s">
        <v>6</v>
      </c>
      <c r="E83" s="394">
        <f t="shared" ref="E83:E88" si="13">J85</f>
        <v>750</v>
      </c>
      <c r="F83" s="394">
        <f t="shared" ref="F83:F88" si="14">J95</f>
        <v>990</v>
      </c>
      <c r="G83" s="395">
        <f t="shared" ref="G83:G89" si="15">F83-E83</f>
        <v>240</v>
      </c>
      <c r="H83" s="394"/>
      <c r="I83" s="164"/>
      <c r="J83" s="165">
        <v>2023</v>
      </c>
      <c r="N83" s="445"/>
      <c r="O83" s="445"/>
      <c r="P83" s="400"/>
    </row>
    <row r="84" s="369" customFormat="1" spans="4:16">
      <c r="D84" s="374" t="s">
        <v>7</v>
      </c>
      <c r="E84" s="394">
        <f t="shared" si="13"/>
        <v>1110</v>
      </c>
      <c r="F84" s="394">
        <f t="shared" si="14"/>
        <v>3460</v>
      </c>
      <c r="G84" s="395">
        <f t="shared" si="15"/>
        <v>2350</v>
      </c>
      <c r="H84" s="394"/>
      <c r="I84" s="166" t="s">
        <v>102</v>
      </c>
      <c r="J84" s="167"/>
      <c r="N84" s="445"/>
      <c r="O84" s="445"/>
      <c r="P84" s="400"/>
    </row>
    <row r="85" s="369" customFormat="1" spans="4:16">
      <c r="D85" s="374" t="s">
        <v>8</v>
      </c>
      <c r="E85" s="394">
        <f t="shared" si="13"/>
        <v>1880</v>
      </c>
      <c r="F85" s="394">
        <f t="shared" si="14"/>
        <v>1850</v>
      </c>
      <c r="G85" s="395">
        <f t="shared" si="15"/>
        <v>-30</v>
      </c>
      <c r="H85" s="394"/>
      <c r="I85" s="168" t="s">
        <v>6</v>
      </c>
      <c r="J85" s="169">
        <v>750</v>
      </c>
      <c r="N85" s="445"/>
      <c r="O85" s="445"/>
      <c r="P85" s="400"/>
    </row>
    <row r="86" s="369" customFormat="1" spans="4:16">
      <c r="D86" s="374" t="s">
        <v>9</v>
      </c>
      <c r="E86" s="394">
        <f t="shared" si="13"/>
        <v>1250</v>
      </c>
      <c r="F86" s="394">
        <f t="shared" si="14"/>
        <v>1610</v>
      </c>
      <c r="G86" s="395">
        <f t="shared" si="15"/>
        <v>360</v>
      </c>
      <c r="H86" s="394"/>
      <c r="I86" s="168" t="s">
        <v>7</v>
      </c>
      <c r="J86" s="169">
        <v>1110</v>
      </c>
      <c r="N86" s="445"/>
      <c r="O86" s="445"/>
      <c r="P86" s="400"/>
    </row>
    <row r="87" s="369" customFormat="1" spans="4:16">
      <c r="D87" s="374" t="s">
        <v>10</v>
      </c>
      <c r="E87" s="394">
        <f t="shared" si="13"/>
        <v>670</v>
      </c>
      <c r="F87" s="394">
        <f t="shared" si="14"/>
        <v>750</v>
      </c>
      <c r="G87" s="395">
        <f t="shared" si="15"/>
        <v>80</v>
      </c>
      <c r="H87" s="394"/>
      <c r="I87" s="168" t="s">
        <v>8</v>
      </c>
      <c r="J87" s="169">
        <v>1880</v>
      </c>
      <c r="N87" s="445"/>
      <c r="O87" s="445"/>
      <c r="P87" s="400"/>
    </row>
    <row r="88" s="369" customFormat="1" spans="4:16">
      <c r="D88" s="374" t="s">
        <v>11</v>
      </c>
      <c r="E88" s="394">
        <f t="shared" si="13"/>
        <v>710</v>
      </c>
      <c r="F88" s="394">
        <f t="shared" si="14"/>
        <v>780</v>
      </c>
      <c r="G88" s="395">
        <f t="shared" si="15"/>
        <v>70</v>
      </c>
      <c r="H88" s="394"/>
      <c r="I88" s="168" t="s">
        <v>9</v>
      </c>
      <c r="J88" s="169">
        <v>1250</v>
      </c>
      <c r="N88" s="445"/>
      <c r="O88" s="445"/>
      <c r="P88" s="400"/>
    </row>
    <row r="89" s="369" customFormat="1" spans="4:16">
      <c r="D89" s="376" t="s">
        <v>14</v>
      </c>
      <c r="E89" s="396">
        <f>J93</f>
        <v>730</v>
      </c>
      <c r="F89" s="396">
        <f>J103</f>
        <v>560</v>
      </c>
      <c r="G89" s="395">
        <f t="shared" si="15"/>
        <v>-170</v>
      </c>
      <c r="H89" s="396"/>
      <c r="I89" s="168" t="s">
        <v>10</v>
      </c>
      <c r="J89" s="169">
        <v>670</v>
      </c>
      <c r="N89" s="446"/>
      <c r="O89" s="446"/>
      <c r="P89" s="400"/>
    </row>
    <row r="90" spans="9:10">
      <c r="I90" s="168" t="s">
        <v>11</v>
      </c>
      <c r="J90" s="169">
        <v>710</v>
      </c>
    </row>
    <row r="91" spans="9:10">
      <c r="I91" s="168" t="s">
        <v>12</v>
      </c>
      <c r="J91" s="169">
        <v>610</v>
      </c>
    </row>
    <row r="92" spans="9:10">
      <c r="I92" s="168" t="s">
        <v>13</v>
      </c>
      <c r="J92" s="169">
        <v>1330</v>
      </c>
    </row>
    <row r="93" spans="4:10">
      <c r="D93" t="s">
        <v>103</v>
      </c>
      <c r="I93" s="170" t="s">
        <v>14</v>
      </c>
      <c r="J93" s="171">
        <v>730</v>
      </c>
    </row>
    <row r="94" spans="4:10">
      <c r="D94" s="182" t="s">
        <v>6</v>
      </c>
      <c r="E94" s="397">
        <f t="shared" ref="E94:E101" si="16">(E60*0.5+F60*0.5)*AO60/1000-E73</f>
        <v>6.40632000000002</v>
      </c>
      <c r="F94" s="398">
        <f>(H60*0.5+I60*0.5)*AP60/1000-F73</f>
        <v>10.99492</v>
      </c>
      <c r="G94" s="398">
        <f>(K60*0.5+L60*0.5)*AR60/1000-G73</f>
        <v>12.1192080795861</v>
      </c>
      <c r="I94" s="166" t="s">
        <v>104</v>
      </c>
      <c r="J94" s="167"/>
    </row>
    <row r="95" spans="4:10">
      <c r="D95" s="182" t="s">
        <v>14</v>
      </c>
      <c r="E95" s="397">
        <f t="shared" si="16"/>
        <v>-0.705159999999999</v>
      </c>
      <c r="F95" s="398">
        <f t="shared" ref="F95:F101" si="17">(H61*0.5+I61*0.5)*AP61/1000-F74</f>
        <v>-1.00991</v>
      </c>
      <c r="G95" s="398">
        <f t="shared" ref="G95:G101" si="18">(K61*0.5+L61*0.5)*AR61/1000-G74</f>
        <v>-1.31390003567542</v>
      </c>
      <c r="I95" s="168" t="s">
        <v>6</v>
      </c>
      <c r="J95" s="169">
        <v>990</v>
      </c>
    </row>
    <row r="96" spans="4:10">
      <c r="D96" s="182" t="s">
        <v>7</v>
      </c>
      <c r="E96" s="397">
        <f t="shared" si="16"/>
        <v>39.89125</v>
      </c>
      <c r="F96" s="398">
        <f t="shared" si="17"/>
        <v>85.0688699999999</v>
      </c>
      <c r="G96" s="398">
        <f t="shared" si="18"/>
        <v>100.418846858965</v>
      </c>
      <c r="I96" s="168" t="s">
        <v>7</v>
      </c>
      <c r="J96" s="169">
        <v>3460</v>
      </c>
    </row>
    <row r="97" spans="4:13">
      <c r="D97" s="182" t="s">
        <v>9</v>
      </c>
      <c r="E97" s="397">
        <f t="shared" si="16"/>
        <v>0.0766799999999996</v>
      </c>
      <c r="F97" s="398">
        <f t="shared" si="17"/>
        <v>0.10764</v>
      </c>
      <c r="G97" s="398">
        <f t="shared" si="18"/>
        <v>0.130342582321887</v>
      </c>
      <c r="I97" s="168" t="s">
        <v>8</v>
      </c>
      <c r="J97" s="169">
        <v>1850</v>
      </c>
      <c r="K97" s="158"/>
      <c r="L97" s="159"/>
      <c r="M97" s="159"/>
    </row>
    <row r="98" spans="4:13">
      <c r="D98" s="182" t="s">
        <v>10</v>
      </c>
      <c r="E98" s="397">
        <f t="shared" si="16"/>
        <v>5.50592000000006</v>
      </c>
      <c r="F98" s="398">
        <f t="shared" si="17"/>
        <v>13.0535999999997</v>
      </c>
      <c r="G98" s="398">
        <f t="shared" si="18"/>
        <v>13.1947924431258</v>
      </c>
      <c r="H98" s="442"/>
      <c r="I98" s="168" t="s">
        <v>9</v>
      </c>
      <c r="J98" s="169">
        <v>1610</v>
      </c>
      <c r="K98" s="442"/>
      <c r="L98" s="364">
        <v>450</v>
      </c>
      <c r="M98" s="161">
        <v>620</v>
      </c>
    </row>
    <row r="99" spans="4:13">
      <c r="D99" s="251" t="s">
        <v>11</v>
      </c>
      <c r="E99" s="397">
        <f t="shared" si="16"/>
        <v>0.663389999999993</v>
      </c>
      <c r="F99" s="398">
        <f t="shared" si="17"/>
        <v>1.48991999999998</v>
      </c>
      <c r="G99" s="398">
        <f t="shared" si="18"/>
        <v>1.52455541320757</v>
      </c>
      <c r="H99" s="443"/>
      <c r="I99" s="168" t="s">
        <v>10</v>
      </c>
      <c r="J99" s="169">
        <v>750</v>
      </c>
      <c r="K99" s="162"/>
      <c r="L99" s="163">
        <v>330</v>
      </c>
      <c r="M99" s="163">
        <v>260</v>
      </c>
    </row>
    <row r="100" spans="4:13">
      <c r="D100" s="173" t="s">
        <v>8</v>
      </c>
      <c r="E100" s="397">
        <f t="shared" si="16"/>
        <v>-0.324479999999994</v>
      </c>
      <c r="F100" s="398">
        <f t="shared" si="17"/>
        <v>0.338300000000004</v>
      </c>
      <c r="G100" s="398">
        <f t="shared" si="18"/>
        <v>0.342262506155009</v>
      </c>
      <c r="H100" s="442"/>
      <c r="I100" s="168" t="s">
        <v>11</v>
      </c>
      <c r="J100" s="169">
        <v>780</v>
      </c>
      <c r="K100" s="442"/>
      <c r="L100" s="161">
        <v>480</v>
      </c>
      <c r="M100" s="161">
        <v>1510</v>
      </c>
    </row>
    <row r="101" spans="4:13">
      <c r="D101" s="183" t="s">
        <v>85</v>
      </c>
      <c r="E101" s="397">
        <f t="shared" si="16"/>
        <v>0.322561855967024</v>
      </c>
      <c r="F101" s="398">
        <f t="shared" si="17"/>
        <v>0.612236125067099</v>
      </c>
      <c r="G101" s="398">
        <f t="shared" si="18"/>
        <v>0.98106367472954</v>
      </c>
      <c r="H101" s="442"/>
      <c r="I101" s="168" t="s">
        <v>12</v>
      </c>
      <c r="J101" s="169">
        <v>1010</v>
      </c>
      <c r="K101" s="442"/>
      <c r="L101" s="161">
        <v>770</v>
      </c>
      <c r="M101" s="161">
        <v>1010</v>
      </c>
    </row>
    <row r="102" spans="8:13">
      <c r="H102" s="442"/>
      <c r="I102" s="168" t="s">
        <v>13</v>
      </c>
      <c r="J102" s="169">
        <v>1830</v>
      </c>
      <c r="K102" s="442"/>
      <c r="L102" s="161">
        <v>300</v>
      </c>
      <c r="M102" s="364">
        <v>340</v>
      </c>
    </row>
    <row r="103" spans="8:13">
      <c r="H103" s="442"/>
      <c r="I103" s="170" t="s">
        <v>14</v>
      </c>
      <c r="J103" s="171">
        <v>560</v>
      </c>
      <c r="K103" s="442"/>
      <c r="L103" s="161">
        <v>270</v>
      </c>
      <c r="M103" s="364">
        <v>290</v>
      </c>
    </row>
    <row r="104" spans="4:13">
      <c r="D104" s="173" t="s">
        <v>105</v>
      </c>
      <c r="E104" s="272">
        <f t="shared" ref="E104:G104" si="19">E94*2</f>
        <v>12.81264</v>
      </c>
      <c r="F104" s="272">
        <f t="shared" si="19"/>
        <v>21.9898400000001</v>
      </c>
      <c r="G104" s="272">
        <f t="shared" si="19"/>
        <v>24.2384161591722</v>
      </c>
      <c r="H104" s="442"/>
      <c r="I104" s="364"/>
      <c r="K104" s="442"/>
      <c r="L104" s="364">
        <v>940</v>
      </c>
      <c r="M104" s="161">
        <v>990</v>
      </c>
    </row>
    <row r="105" spans="4:7">
      <c r="D105" s="173"/>
      <c r="E105" s="272">
        <f t="shared" ref="E105:G105" si="20">E95*2</f>
        <v>-1.41032</v>
      </c>
      <c r="F105" s="272">
        <f t="shared" si="20"/>
        <v>-2.01982</v>
      </c>
      <c r="G105" s="272">
        <f t="shared" si="20"/>
        <v>-2.62780007135083</v>
      </c>
    </row>
    <row r="106" spans="4:7">
      <c r="D106" s="173"/>
      <c r="E106" s="272">
        <f t="shared" ref="E106:G106" si="21">E96*2</f>
        <v>79.7825</v>
      </c>
      <c r="F106" s="272">
        <f t="shared" si="21"/>
        <v>170.13774</v>
      </c>
      <c r="G106" s="272">
        <f t="shared" si="21"/>
        <v>200.83769371793</v>
      </c>
    </row>
    <row r="107" spans="4:13">
      <c r="D107" s="173"/>
      <c r="E107" s="272">
        <f t="shared" ref="E107:G107" si="22">E97*2</f>
        <v>0.153359999999999</v>
      </c>
      <c r="F107" s="272">
        <f t="shared" si="22"/>
        <v>0.215279999999999</v>
      </c>
      <c r="G107" s="272">
        <f t="shared" si="22"/>
        <v>0.260685164643775</v>
      </c>
      <c r="H107" s="444"/>
      <c r="I107" s="161"/>
      <c r="J107" s="161"/>
      <c r="K107" s="442"/>
      <c r="L107" s="161"/>
      <c r="M107" s="161"/>
    </row>
    <row r="108" spans="4:7">
      <c r="D108" s="173"/>
      <c r="E108" s="272">
        <f t="shared" ref="E108:G108" si="23">E98*2</f>
        <v>11.0118400000001</v>
      </c>
      <c r="F108" s="272">
        <f t="shared" si="23"/>
        <v>26.1071999999995</v>
      </c>
      <c r="G108" s="272">
        <f t="shared" si="23"/>
        <v>26.3895848862517</v>
      </c>
    </row>
    <row r="109" spans="4:7">
      <c r="D109" s="173"/>
      <c r="E109" s="272">
        <f t="shared" ref="E109:G109" si="24">E99*2</f>
        <v>1.32677999999999</v>
      </c>
      <c r="F109" s="272">
        <f t="shared" si="24"/>
        <v>2.97983999999997</v>
      </c>
      <c r="G109" s="272">
        <f t="shared" si="24"/>
        <v>3.04911082641513</v>
      </c>
    </row>
    <row r="110" spans="4:7">
      <c r="D110" s="173"/>
      <c r="E110" s="272">
        <f t="shared" ref="E110:G110" si="25">E100*2</f>
        <v>-0.648959999999988</v>
      </c>
      <c r="F110" s="272">
        <f t="shared" si="25"/>
        <v>0.676600000000008</v>
      </c>
      <c r="G110" s="272">
        <f t="shared" si="25"/>
        <v>0.684525012310019</v>
      </c>
    </row>
    <row r="111" spans="4:7">
      <c r="D111" s="173"/>
      <c r="E111" s="272">
        <f t="shared" ref="E111:G111" si="26">E101*2</f>
        <v>0.645123711934048</v>
      </c>
      <c r="F111" s="273">
        <f t="shared" si="26"/>
        <v>1.2244722501342</v>
      </c>
      <c r="G111" s="272">
        <f t="shared" si="26"/>
        <v>1.96212734945908</v>
      </c>
    </row>
    <row r="114" spans="4:7">
      <c r="D114" s="173" t="s">
        <v>106</v>
      </c>
      <c r="E114" s="272">
        <f t="shared" ref="E114:G114" si="27">E94*3</f>
        <v>19.2189600000001</v>
      </c>
      <c r="F114" s="272">
        <f t="shared" si="27"/>
        <v>32.9847600000001</v>
      </c>
      <c r="G114" s="272">
        <f t="shared" si="27"/>
        <v>36.3576242387583</v>
      </c>
    </row>
    <row r="115" spans="4:11">
      <c r="D115" s="173"/>
      <c r="E115" s="272">
        <f t="shared" ref="E115:G115" si="28">E95*3</f>
        <v>-2.11548</v>
      </c>
      <c r="F115" s="272">
        <f t="shared" si="28"/>
        <v>-3.02972999999999</v>
      </c>
      <c r="G115" s="272">
        <f t="shared" si="28"/>
        <v>-3.94170010702625</v>
      </c>
      <c r="J115" s="165">
        <v>2030</v>
      </c>
      <c r="K115" s="165">
        <v>2050</v>
      </c>
    </row>
    <row r="116" spans="4:11">
      <c r="D116" s="173"/>
      <c r="E116" s="272">
        <f t="shared" ref="E116:G116" si="29">E96*3</f>
        <v>119.67375</v>
      </c>
      <c r="F116" s="272">
        <f t="shared" si="29"/>
        <v>255.20661</v>
      </c>
      <c r="G116" s="272">
        <f t="shared" si="29"/>
        <v>301.256540576895</v>
      </c>
      <c r="I116" s="166" t="s">
        <v>102</v>
      </c>
      <c r="J116" s="167"/>
      <c r="K116" s="167"/>
    </row>
    <row r="117" spans="4:11">
      <c r="D117" s="173"/>
      <c r="E117" s="272">
        <f t="shared" ref="E117:G117" si="30">E97*3</f>
        <v>0.230039999999999</v>
      </c>
      <c r="F117" s="272">
        <f t="shared" si="30"/>
        <v>0.322919999999999</v>
      </c>
      <c r="G117" s="272">
        <f t="shared" si="30"/>
        <v>0.391027746965662</v>
      </c>
      <c r="I117" s="168" t="s">
        <v>6</v>
      </c>
      <c r="J117" s="169">
        <v>480</v>
      </c>
      <c r="K117" s="169">
        <v>340</v>
      </c>
    </row>
    <row r="118" spans="4:11">
      <c r="D118" s="173"/>
      <c r="E118" s="272">
        <f t="shared" ref="E118:G118" si="31">E98*3</f>
        <v>16.5177600000002</v>
      </c>
      <c r="F118" s="272">
        <f t="shared" si="31"/>
        <v>39.1607999999992</v>
      </c>
      <c r="G118" s="272">
        <f t="shared" si="31"/>
        <v>39.5843773293775</v>
      </c>
      <c r="I118" s="168" t="s">
        <v>7</v>
      </c>
      <c r="J118" s="169">
        <v>690</v>
      </c>
      <c r="K118" s="169">
        <v>480</v>
      </c>
    </row>
    <row r="119" spans="4:11">
      <c r="D119" s="173"/>
      <c r="E119" s="272">
        <f t="shared" ref="E119:G119" si="32">E99*3</f>
        <v>1.99016999999998</v>
      </c>
      <c r="F119" s="272">
        <f t="shared" si="32"/>
        <v>4.46975999999995</v>
      </c>
      <c r="G119" s="272">
        <f t="shared" si="32"/>
        <v>4.5736662396227</v>
      </c>
      <c r="I119" s="168" t="s">
        <v>8</v>
      </c>
      <c r="J119" s="169">
        <v>1260</v>
      </c>
      <c r="K119" s="169">
        <v>940</v>
      </c>
    </row>
    <row r="120" spans="4:11">
      <c r="D120" s="173"/>
      <c r="E120" s="272">
        <f t="shared" ref="E120:G120" si="33">E100*3</f>
        <v>-0.973439999999982</v>
      </c>
      <c r="F120" s="272">
        <f t="shared" si="33"/>
        <v>1.01490000000001</v>
      </c>
      <c r="G120" s="272">
        <f t="shared" si="33"/>
        <v>1.02678751846503</v>
      </c>
      <c r="I120" s="168" t="s">
        <v>9</v>
      </c>
      <c r="J120" s="169">
        <v>820</v>
      </c>
      <c r="K120" s="169">
        <v>580</v>
      </c>
    </row>
    <row r="121" spans="4:11">
      <c r="D121" s="173"/>
      <c r="E121" s="272">
        <f t="shared" ref="E121:G121" si="34">E101*3</f>
        <v>0.967685567901071</v>
      </c>
      <c r="F121" s="272">
        <f t="shared" si="34"/>
        <v>1.8367083752013</v>
      </c>
      <c r="G121" s="272">
        <f t="shared" si="34"/>
        <v>2.94319102418862</v>
      </c>
      <c r="I121" s="168" t="s">
        <v>10</v>
      </c>
      <c r="J121" s="169">
        <v>410</v>
      </c>
      <c r="K121" s="169">
        <v>280</v>
      </c>
    </row>
    <row r="122" spans="9:11">
      <c r="I122" s="168" t="s">
        <v>11</v>
      </c>
      <c r="J122" s="169">
        <v>450</v>
      </c>
      <c r="K122" s="169">
        <v>300</v>
      </c>
    </row>
    <row r="123" spans="9:11">
      <c r="I123" s="168" t="s">
        <v>12</v>
      </c>
      <c r="J123" s="169">
        <v>360</v>
      </c>
      <c r="K123" s="169">
        <v>250</v>
      </c>
    </row>
    <row r="124" spans="4:11">
      <c r="D124" s="173" t="s">
        <v>107</v>
      </c>
      <c r="E124" s="272">
        <f t="shared" ref="E124:G124" si="35">E94*4</f>
        <v>25.6252800000001</v>
      </c>
      <c r="F124" s="272">
        <f t="shared" si="35"/>
        <v>43.9796800000001</v>
      </c>
      <c r="G124" s="272">
        <f t="shared" si="35"/>
        <v>48.4768323183443</v>
      </c>
      <c r="I124" s="168" t="s">
        <v>13</v>
      </c>
      <c r="J124" s="169">
        <v>820</v>
      </c>
      <c r="K124" s="169">
        <v>550</v>
      </c>
    </row>
    <row r="125" spans="4:11">
      <c r="D125" s="173"/>
      <c r="E125" s="272">
        <f t="shared" ref="E125:G125" si="36">E95*4</f>
        <v>-2.82064</v>
      </c>
      <c r="F125" s="272">
        <f t="shared" si="36"/>
        <v>-4.03963999999999</v>
      </c>
      <c r="G125" s="272">
        <f t="shared" si="36"/>
        <v>-5.25560014270167</v>
      </c>
      <c r="I125" s="170" t="s">
        <v>14</v>
      </c>
      <c r="J125" s="171">
        <v>460</v>
      </c>
      <c r="K125" s="171">
        <v>330</v>
      </c>
    </row>
    <row r="126" spans="4:11">
      <c r="D126" s="173"/>
      <c r="E126" s="272">
        <f t="shared" ref="E126:G126" si="37">E96*4</f>
        <v>159.565</v>
      </c>
      <c r="F126" s="272">
        <f t="shared" si="37"/>
        <v>340.27548</v>
      </c>
      <c r="G126" s="272">
        <f t="shared" si="37"/>
        <v>401.67538743586</v>
      </c>
      <c r="I126" s="166" t="s">
        <v>104</v>
      </c>
      <c r="J126" s="167"/>
      <c r="K126" s="167"/>
    </row>
    <row r="127" spans="4:11">
      <c r="D127" s="173"/>
      <c r="E127" s="272">
        <f t="shared" ref="E127:G127" si="38">E97*4</f>
        <v>0.306719999999999</v>
      </c>
      <c r="F127" s="272">
        <f t="shared" si="38"/>
        <v>0.430559999999998</v>
      </c>
      <c r="G127" s="272">
        <f t="shared" si="38"/>
        <v>0.521370329287549</v>
      </c>
      <c r="I127" s="168" t="s">
        <v>6</v>
      </c>
      <c r="J127" s="169">
        <v>650</v>
      </c>
      <c r="K127" s="169">
        <v>470</v>
      </c>
    </row>
    <row r="128" spans="4:11">
      <c r="D128" s="173"/>
      <c r="E128" s="272">
        <f t="shared" ref="E128:G128" si="39">E98*4</f>
        <v>22.0236800000002</v>
      </c>
      <c r="F128" s="272">
        <f t="shared" si="39"/>
        <v>52.2143999999989</v>
      </c>
      <c r="G128" s="272">
        <f t="shared" si="39"/>
        <v>52.7791697725033</v>
      </c>
      <c r="I128" s="168" t="s">
        <v>7</v>
      </c>
      <c r="J128" s="169">
        <v>2200</v>
      </c>
      <c r="K128" s="169">
        <v>1490</v>
      </c>
    </row>
    <row r="129" spans="4:11">
      <c r="D129" s="173"/>
      <c r="E129" s="272">
        <f t="shared" ref="E129:G129" si="40">E99*4</f>
        <v>2.65355999999997</v>
      </c>
      <c r="F129" s="272">
        <f t="shared" si="40"/>
        <v>5.95967999999993</v>
      </c>
      <c r="G129" s="272">
        <f t="shared" si="40"/>
        <v>6.09822165283026</v>
      </c>
      <c r="I129" s="168" t="s">
        <v>8</v>
      </c>
      <c r="J129" s="169">
        <v>1280</v>
      </c>
      <c r="K129" s="169">
        <v>990</v>
      </c>
    </row>
    <row r="130" spans="4:11">
      <c r="D130" s="173"/>
      <c r="E130" s="272">
        <f t="shared" ref="E130:G130" si="41">E100*4</f>
        <v>-1.29791999999998</v>
      </c>
      <c r="F130" s="272">
        <f t="shared" si="41"/>
        <v>1.35320000000002</v>
      </c>
      <c r="G130" s="272">
        <f t="shared" si="41"/>
        <v>1.36905002462004</v>
      </c>
      <c r="I130" s="168" t="s">
        <v>9</v>
      </c>
      <c r="J130" s="169">
        <v>1080</v>
      </c>
      <c r="K130" s="169">
        <v>780</v>
      </c>
    </row>
    <row r="131" spans="4:11">
      <c r="D131" s="173"/>
      <c r="E131" s="272">
        <f t="shared" ref="E131:G131" si="42">E101*4</f>
        <v>1.2902474238681</v>
      </c>
      <c r="F131" s="272">
        <f t="shared" si="42"/>
        <v>2.4489445002684</v>
      </c>
      <c r="G131" s="272">
        <f t="shared" si="42"/>
        <v>3.92425469891816</v>
      </c>
      <c r="I131" s="168" t="s">
        <v>10</v>
      </c>
      <c r="J131" s="169">
        <v>450</v>
      </c>
      <c r="K131" s="169">
        <v>310</v>
      </c>
    </row>
    <row r="132" spans="9:11">
      <c r="I132" s="168" t="s">
        <v>11</v>
      </c>
      <c r="J132" s="169">
        <v>490</v>
      </c>
      <c r="K132" s="169">
        <v>330</v>
      </c>
    </row>
    <row r="133" spans="9:11">
      <c r="I133" s="168" t="s">
        <v>12</v>
      </c>
      <c r="J133" s="169">
        <v>580</v>
      </c>
      <c r="K133" s="169">
        <v>390</v>
      </c>
    </row>
    <row r="134" spans="4:11">
      <c r="D134" s="173" t="s">
        <v>108</v>
      </c>
      <c r="E134" s="272">
        <f t="shared" ref="E134:G134" si="43">E94*5</f>
        <v>32.0316000000001</v>
      </c>
      <c r="F134" s="272">
        <f t="shared" si="43"/>
        <v>54.9746000000002</v>
      </c>
      <c r="G134" s="272">
        <f t="shared" si="43"/>
        <v>60.5960403979304</v>
      </c>
      <c r="I134" s="168" t="s">
        <v>13</v>
      </c>
      <c r="J134" s="169">
        <v>1120</v>
      </c>
      <c r="K134" s="169">
        <v>750</v>
      </c>
    </row>
    <row r="135" spans="4:11">
      <c r="D135" s="173"/>
      <c r="E135" s="272">
        <f t="shared" ref="E135:G135" si="44">E95*5</f>
        <v>-3.5258</v>
      </c>
      <c r="F135" s="272">
        <f t="shared" si="44"/>
        <v>-5.04954999999999</v>
      </c>
      <c r="G135" s="272">
        <f t="shared" si="44"/>
        <v>-6.56950017837708</v>
      </c>
      <c r="I135" s="170" t="s">
        <v>14</v>
      </c>
      <c r="J135" s="171">
        <v>350</v>
      </c>
      <c r="K135" s="171">
        <v>260</v>
      </c>
    </row>
    <row r="136" spans="4:7">
      <c r="D136" s="173"/>
      <c r="E136" s="272">
        <f t="shared" ref="E136:G136" si="45">E96*5</f>
        <v>199.45625</v>
      </c>
      <c r="F136" s="272">
        <f t="shared" si="45"/>
        <v>425.34435</v>
      </c>
      <c r="G136" s="272">
        <f t="shared" si="45"/>
        <v>502.094234294825</v>
      </c>
    </row>
    <row r="137" spans="4:7">
      <c r="D137" s="173"/>
      <c r="E137" s="272">
        <f t="shared" ref="E137:G137" si="46">E97*5</f>
        <v>0.383399999999998</v>
      </c>
      <c r="F137" s="272">
        <f t="shared" si="46"/>
        <v>0.538199999999998</v>
      </c>
      <c r="G137" s="272">
        <f t="shared" si="46"/>
        <v>0.651712911609437</v>
      </c>
    </row>
    <row r="138" spans="4:7">
      <c r="D138" s="173"/>
      <c r="E138" s="272">
        <f t="shared" ref="E138:G138" si="47">E98*5</f>
        <v>27.5296000000003</v>
      </c>
      <c r="F138" s="272">
        <f t="shared" si="47"/>
        <v>65.2679999999987</v>
      </c>
      <c r="G138" s="272">
        <f t="shared" si="47"/>
        <v>65.9739622156292</v>
      </c>
    </row>
    <row r="139" spans="4:7">
      <c r="D139" s="173"/>
      <c r="E139" s="272">
        <f t="shared" ref="E139:G139" si="48">E99*5</f>
        <v>3.31694999999996</v>
      </c>
      <c r="F139" s="272">
        <f t="shared" si="48"/>
        <v>7.44959999999992</v>
      </c>
      <c r="G139" s="272">
        <f t="shared" si="48"/>
        <v>7.62277706603783</v>
      </c>
    </row>
    <row r="140" spans="4:7">
      <c r="D140" s="173"/>
      <c r="E140" s="272">
        <f t="shared" ref="E140:G140" si="49">E100*5</f>
        <v>-1.62239999999997</v>
      </c>
      <c r="F140" s="272">
        <f t="shared" si="49"/>
        <v>1.69150000000002</v>
      </c>
      <c r="G140" s="272">
        <f t="shared" si="49"/>
        <v>1.71131253077505</v>
      </c>
    </row>
    <row r="141" spans="4:7">
      <c r="D141" s="173"/>
      <c r="E141" s="272">
        <f t="shared" ref="E141:G141" si="50">E101*5</f>
        <v>1.61280927983512</v>
      </c>
      <c r="F141" s="272">
        <f t="shared" si="50"/>
        <v>3.0611806253355</v>
      </c>
      <c r="G141" s="272">
        <f t="shared" si="50"/>
        <v>4.9053183736477</v>
      </c>
    </row>
    <row r="144" spans="4:7">
      <c r="D144" s="173" t="s">
        <v>109</v>
      </c>
      <c r="E144" s="272">
        <f t="shared" ref="E144:G144" si="51">E94*6</f>
        <v>38.4379200000001</v>
      </c>
      <c r="F144" s="272">
        <f t="shared" si="51"/>
        <v>65.9695200000002</v>
      </c>
      <c r="G144" s="272">
        <f t="shared" si="51"/>
        <v>72.7152484775165</v>
      </c>
    </row>
    <row r="145" spans="4:7">
      <c r="D145" s="173"/>
      <c r="E145" s="272">
        <f t="shared" ref="E145:G145" si="52">E95*6</f>
        <v>-4.23096</v>
      </c>
      <c r="F145" s="272">
        <f t="shared" si="52"/>
        <v>-6.05945999999999</v>
      </c>
      <c r="G145" s="272">
        <f t="shared" si="52"/>
        <v>-7.8834002140525</v>
      </c>
    </row>
    <row r="146" spans="4:7">
      <c r="D146" s="173"/>
      <c r="E146" s="272">
        <f t="shared" ref="E146:G146" si="53">E96*6</f>
        <v>239.3475</v>
      </c>
      <c r="F146" s="272">
        <f t="shared" si="53"/>
        <v>510.41322</v>
      </c>
      <c r="G146" s="272">
        <f t="shared" si="53"/>
        <v>602.51308115379</v>
      </c>
    </row>
    <row r="147" spans="4:7">
      <c r="D147" s="173"/>
      <c r="E147" s="272">
        <f t="shared" ref="E147:G147" si="54">E97*6</f>
        <v>0.460079999999998</v>
      </c>
      <c r="F147" s="272">
        <f t="shared" si="54"/>
        <v>0.645839999999997</v>
      </c>
      <c r="G147" s="272">
        <f t="shared" si="54"/>
        <v>0.782055493931324</v>
      </c>
    </row>
    <row r="148" spans="4:7">
      <c r="D148" s="173"/>
      <c r="E148" s="272">
        <f t="shared" ref="E148:G148" si="55">E98*6</f>
        <v>33.0355200000004</v>
      </c>
      <c r="F148" s="272">
        <f t="shared" si="55"/>
        <v>78.3215999999984</v>
      </c>
      <c r="G148" s="272">
        <f t="shared" si="55"/>
        <v>79.168754658755</v>
      </c>
    </row>
    <row r="149" spans="4:7">
      <c r="D149" s="173"/>
      <c r="E149" s="272">
        <f t="shared" ref="E149:G149" si="56">E99*6</f>
        <v>3.98033999999996</v>
      </c>
      <c r="F149" s="272">
        <f t="shared" si="56"/>
        <v>8.9395199999999</v>
      </c>
      <c r="G149" s="272">
        <f t="shared" si="56"/>
        <v>9.14733247924539</v>
      </c>
    </row>
    <row r="150" spans="4:7">
      <c r="D150" s="173"/>
      <c r="E150" s="272">
        <f t="shared" ref="E150:G150" si="57">E100*6</f>
        <v>-1.94687999999996</v>
      </c>
      <c r="F150" s="272">
        <f t="shared" si="57"/>
        <v>2.02980000000002</v>
      </c>
      <c r="G150" s="272">
        <f t="shared" si="57"/>
        <v>2.05357503693006</v>
      </c>
    </row>
    <row r="151" spans="4:7">
      <c r="D151" s="173"/>
      <c r="E151" s="272">
        <f t="shared" ref="E151:G151" si="58">E101*6</f>
        <v>1.93537113580214</v>
      </c>
      <c r="F151" s="272">
        <f t="shared" si="58"/>
        <v>3.67341675040259</v>
      </c>
      <c r="G151" s="272">
        <f t="shared" si="58"/>
        <v>5.88638204837724</v>
      </c>
    </row>
  </sheetData>
  <mergeCells count="9">
    <mergeCell ref="E58:G58"/>
    <mergeCell ref="H58:J58"/>
    <mergeCell ref="K58:M58"/>
    <mergeCell ref="N58:P58"/>
    <mergeCell ref="D4:D29"/>
    <mergeCell ref="D30:D33"/>
    <mergeCell ref="D34:D37"/>
    <mergeCell ref="D39:D50"/>
    <mergeCell ref="N60:P66"/>
  </mergeCell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151"/>
  <sheetViews>
    <sheetView zoomScale="82" zoomScaleNormal="82" topLeftCell="F54" workbookViewId="0">
      <selection activeCell="L68" sqref="L68"/>
    </sheetView>
  </sheetViews>
  <sheetFormatPr defaultColWidth="8.72727272727273" defaultRowHeight="14.5"/>
  <cols>
    <col min="4" max="4" width="14.9090909090909" customWidth="1"/>
    <col min="5" max="5" width="21.8181818181818" style="177" customWidth="1"/>
    <col min="6" max="6" width="35" style="13" customWidth="1"/>
    <col min="7" max="7" width="20.4545454545455" style="51" customWidth="1"/>
    <col min="8" max="8" width="36" style="13" customWidth="1"/>
    <col min="9" max="9" width="12.9181818181818" style="13" customWidth="1"/>
    <col min="10" max="10" width="10.5" style="13" customWidth="1"/>
    <col min="11" max="11" width="9.08181818181818" style="13" customWidth="1"/>
    <col min="12" max="14" width="7.45454545454545" style="51" customWidth="1"/>
    <col min="15" max="15" width="39.2727272727273" style="13" customWidth="1"/>
    <col min="16" max="16" width="25.8181818181818" style="176" customWidth="1"/>
    <col min="24" max="26" width="12.8181818181818"/>
    <col min="38" max="38" width="14.9090909090909" customWidth="1"/>
    <col min="39" max="39" width="33.9090909090909" style="13" customWidth="1"/>
    <col min="40" max="40" width="14.9090909090909" style="13" customWidth="1"/>
    <col min="41" max="41" width="12.8181818181818" style="13"/>
    <col min="42" max="45" width="12.9090909090909" style="13"/>
    <col min="46" max="47" width="8.72727272727273" style="13"/>
    <col min="56" max="56" width="27.6363636363636" style="178" customWidth="1"/>
    <col min="57" max="57" width="7.72727272727273" style="179" customWidth="1"/>
    <col min="58" max="58" width="8.72727272727273" style="179"/>
    <col min="59" max="59" width="9.45454545454546" style="179" customWidth="1"/>
    <col min="60" max="60" width="8.72727272727273" style="179"/>
    <col min="61" max="61" width="9.81818181818182" style="179" customWidth="1"/>
    <col min="62" max="62" width="8.72727272727273" style="178"/>
    <col min="63" max="63" width="9.90909090909091" style="178" customWidth="1"/>
    <col min="79" max="79" width="8.72727272727273" style="242"/>
    <col min="80" max="80" width="8.72727272727273" style="241"/>
    <col min="81" max="81" width="8.72727272727273" style="370"/>
    <col min="82" max="82" width="8.72727272727273" style="241"/>
    <col min="83" max="83" width="8.72727272727273" style="370"/>
    <col min="95" max="99" width="8.72727272727273" style="371"/>
  </cols>
  <sheetData>
    <row r="1" ht="23.5" spans="1:63">
      <c r="A1" s="181" t="s">
        <v>26</v>
      </c>
      <c r="BD1" s="235" t="s">
        <v>110</v>
      </c>
      <c r="BE1" s="235"/>
      <c r="BF1" s="235"/>
      <c r="BG1" s="235"/>
      <c r="BH1" s="235"/>
      <c r="BI1" s="235"/>
      <c r="BJ1" s="235"/>
      <c r="BK1" s="235"/>
    </row>
    <row r="2" spans="56:99">
      <c r="BD2" s="178" t="s">
        <v>111</v>
      </c>
      <c r="BE2" s="179">
        <v>2023</v>
      </c>
      <c r="BF2" s="179" t="s">
        <v>90</v>
      </c>
      <c r="BG2" s="179" t="s">
        <v>96</v>
      </c>
      <c r="BH2" s="179" t="s">
        <v>20</v>
      </c>
      <c r="BI2" s="179" t="s">
        <v>21</v>
      </c>
      <c r="BJ2" s="178" t="s">
        <v>91</v>
      </c>
      <c r="BK2" s="178" t="s">
        <v>112</v>
      </c>
      <c r="BP2" s="236"/>
      <c r="BZ2" s="173"/>
      <c r="CA2" s="179">
        <v>2023</v>
      </c>
      <c r="CB2" s="241" t="s">
        <v>90</v>
      </c>
      <c r="CC2" s="380" t="s">
        <v>96</v>
      </c>
      <c r="CD2" s="241" t="s">
        <v>20</v>
      </c>
      <c r="CE2" s="380" t="s">
        <v>21</v>
      </c>
      <c r="CF2" s="178" t="s">
        <v>91</v>
      </c>
      <c r="CG2" s="178" t="s">
        <v>112</v>
      </c>
      <c r="CQ2" s="371">
        <v>2023</v>
      </c>
      <c r="CR2" s="371" t="s">
        <v>90</v>
      </c>
      <c r="CS2" s="371" t="s">
        <v>96</v>
      </c>
      <c r="CT2" s="371" t="s">
        <v>20</v>
      </c>
      <c r="CU2" s="371" t="s">
        <v>21</v>
      </c>
    </row>
    <row r="3" spans="4:99">
      <c r="D3" s="182"/>
      <c r="E3" s="182"/>
      <c r="F3" s="183" t="s">
        <v>27</v>
      </c>
      <c r="G3" s="184" t="s">
        <v>28</v>
      </c>
      <c r="H3" s="183" t="s">
        <v>29</v>
      </c>
      <c r="I3" s="183" t="s">
        <v>30</v>
      </c>
      <c r="J3" s="183" t="s">
        <v>31</v>
      </c>
      <c r="K3" s="183" t="s">
        <v>32</v>
      </c>
      <c r="L3" s="184" t="s">
        <v>33</v>
      </c>
      <c r="M3" s="184" t="s">
        <v>34</v>
      </c>
      <c r="N3" s="184" t="s">
        <v>35</v>
      </c>
      <c r="O3" s="183" t="s">
        <v>36</v>
      </c>
      <c r="P3" s="203"/>
      <c r="V3" t="s">
        <v>37</v>
      </c>
      <c r="BD3" s="178" t="s">
        <v>113</v>
      </c>
      <c r="BE3" s="179">
        <v>301.271371601878</v>
      </c>
      <c r="BF3" s="179">
        <v>560.692816993433</v>
      </c>
      <c r="BG3" s="179">
        <v>800.16110225362</v>
      </c>
      <c r="BH3" s="179">
        <v>618.179068525201</v>
      </c>
      <c r="BI3" s="179">
        <v>851.922789241513</v>
      </c>
      <c r="BK3" s="178" t="s">
        <v>98</v>
      </c>
      <c r="BP3" s="237"/>
      <c r="BZ3" s="182" t="s">
        <v>6</v>
      </c>
      <c r="CA3" s="373">
        <v>299.49546</v>
      </c>
      <c r="CB3" s="241">
        <v>457.90608</v>
      </c>
      <c r="CC3" s="381">
        <v>558.4558</v>
      </c>
      <c r="CD3" s="241">
        <v>601.570425786428</v>
      </c>
      <c r="CE3" s="382">
        <v>778.202474611546</v>
      </c>
      <c r="CP3" t="s">
        <v>39</v>
      </c>
      <c r="CQ3" s="371">
        <v>299.49546</v>
      </c>
      <c r="CR3" s="371">
        <v>457.90608</v>
      </c>
      <c r="CS3" s="371">
        <v>558.4558</v>
      </c>
      <c r="CT3" s="371">
        <v>601.570425786428</v>
      </c>
      <c r="CU3" s="371">
        <v>778.202474611546</v>
      </c>
    </row>
    <row r="4" spans="4:99">
      <c r="D4" s="182" t="s">
        <v>38</v>
      </c>
      <c r="E4" s="183" t="s">
        <v>39</v>
      </c>
      <c r="F4" s="185">
        <f>Attached_WEO2023!B12</f>
        <v>750</v>
      </c>
      <c r="G4" s="186">
        <f>Attached_WEO2023!F12</f>
        <v>990</v>
      </c>
      <c r="H4" s="183"/>
      <c r="I4" s="183"/>
      <c r="J4" s="183"/>
      <c r="K4" s="183"/>
      <c r="L4" s="184"/>
      <c r="M4" s="184"/>
      <c r="N4" s="184"/>
      <c r="O4" s="183">
        <f>AVERAGE('Attached-DIB_GNESTE_Solar_Power'!W70:W74)</f>
        <v>860.90269</v>
      </c>
      <c r="P4" s="203"/>
      <c r="V4" s="212"/>
      <c r="W4" s="213"/>
      <c r="X4" s="212" t="s">
        <v>40</v>
      </c>
      <c r="Y4" s="212"/>
      <c r="Z4" s="212"/>
      <c r="AA4" s="212"/>
      <c r="AB4" s="212"/>
      <c r="AC4" s="213"/>
      <c r="AD4" s="212" t="s">
        <v>41</v>
      </c>
      <c r="AE4" s="212"/>
      <c r="AF4" s="212"/>
      <c r="AG4" s="212"/>
      <c r="AH4" s="212"/>
      <c r="BD4" s="178" t="s">
        <v>114</v>
      </c>
      <c r="BE4" s="179">
        <v>52.2375947585621</v>
      </c>
      <c r="BF4" s="179">
        <v>92.9097241965916</v>
      </c>
      <c r="BG4" s="179">
        <v>155.569904129799</v>
      </c>
      <c r="BH4" s="179">
        <v>124.485752435984</v>
      </c>
      <c r="BI4" s="179">
        <v>261.604478741304</v>
      </c>
      <c r="BK4" s="178" t="s">
        <v>98</v>
      </c>
      <c r="BP4" s="237"/>
      <c r="BZ4" s="182" t="s">
        <v>14</v>
      </c>
      <c r="CA4" s="373">
        <v>28.28936</v>
      </c>
      <c r="CB4" s="241">
        <v>38.19296</v>
      </c>
      <c r="CC4" s="381">
        <v>45.58992</v>
      </c>
      <c r="CD4" s="241">
        <v>63.0771882307953</v>
      </c>
      <c r="CE4" s="382">
        <v>94.5545389727722</v>
      </c>
      <c r="CP4" t="s">
        <v>115</v>
      </c>
      <c r="CQ4" s="371">
        <v>28.28936</v>
      </c>
      <c r="CR4" s="371">
        <v>38.19296</v>
      </c>
      <c r="CS4" s="371">
        <v>45.58992</v>
      </c>
      <c r="CT4" s="371">
        <v>63.0771882307953</v>
      </c>
      <c r="CU4" s="371">
        <v>94.5545389727722</v>
      </c>
    </row>
    <row r="5" spans="4:99">
      <c r="D5" s="182"/>
      <c r="E5" s="187" t="s">
        <v>42</v>
      </c>
      <c r="F5" s="183"/>
      <c r="G5" s="184"/>
      <c r="H5" s="188">
        <f>'Attached-IRENA2024 report'!J20</f>
        <v>626.345636479765</v>
      </c>
      <c r="I5" s="183"/>
      <c r="J5" s="183"/>
      <c r="K5" s="183"/>
      <c r="L5" s="184"/>
      <c r="M5" s="184"/>
      <c r="N5" s="184"/>
      <c r="O5" s="183"/>
      <c r="P5" s="203"/>
      <c r="V5" s="214">
        <v>2023</v>
      </c>
      <c r="W5" s="215"/>
      <c r="X5" s="214">
        <v>2030</v>
      </c>
      <c r="Y5" s="214">
        <v>2035</v>
      </c>
      <c r="Z5" s="214">
        <v>2040</v>
      </c>
      <c r="AA5" s="214">
        <v>2045</v>
      </c>
      <c r="AB5" s="214">
        <v>2050</v>
      </c>
      <c r="AC5" s="215"/>
      <c r="AD5" s="214">
        <v>2030</v>
      </c>
      <c r="AE5" s="214">
        <v>2035</v>
      </c>
      <c r="AF5" s="214">
        <v>2040</v>
      </c>
      <c r="AG5" s="214">
        <v>2045</v>
      </c>
      <c r="AH5" s="214">
        <v>2050</v>
      </c>
      <c r="BD5" s="178" t="s">
        <v>116</v>
      </c>
      <c r="BE5" s="179">
        <v>301.646560546042</v>
      </c>
      <c r="BF5" s="179">
        <v>667.686875430253</v>
      </c>
      <c r="BG5" s="179">
        <v>1495.10101483773</v>
      </c>
      <c r="BH5" s="179">
        <v>782.837615529791</v>
      </c>
      <c r="BI5" s="179">
        <v>1664.59413233795</v>
      </c>
      <c r="BK5" s="178" t="s">
        <v>98</v>
      </c>
      <c r="BP5" s="237"/>
      <c r="BZ5" s="182" t="s">
        <v>7</v>
      </c>
      <c r="CA5" s="373">
        <v>351.043</v>
      </c>
      <c r="CB5" s="241">
        <v>719.98686</v>
      </c>
      <c r="CC5" s="381">
        <v>1690.17944</v>
      </c>
      <c r="CD5" s="241">
        <v>934.693993415024</v>
      </c>
      <c r="CE5" s="382">
        <v>1906.03871227323</v>
      </c>
      <c r="CP5" t="s">
        <v>37</v>
      </c>
      <c r="CQ5" s="371">
        <v>351.043</v>
      </c>
      <c r="CR5" s="371">
        <v>719.98686</v>
      </c>
      <c r="CS5" s="371">
        <v>1690.17944</v>
      </c>
      <c r="CT5" s="371">
        <v>934.693993415024</v>
      </c>
      <c r="CU5" s="371">
        <v>1906.03871227323</v>
      </c>
    </row>
    <row r="6" spans="4:99">
      <c r="D6" s="182"/>
      <c r="E6" s="189" t="s">
        <v>43</v>
      </c>
      <c r="F6" s="183"/>
      <c r="G6" s="184"/>
      <c r="H6" s="188">
        <f>'Attached-IRENA2024 report'!J22</f>
        <v>753.199942043778</v>
      </c>
      <c r="I6" s="204">
        <f>'Attached-IEA2020Projected Costs'!K39</f>
        <v>819.399970080133</v>
      </c>
      <c r="J6" s="204">
        <f>'Attached-IEA2020Projected Costs'!L39</f>
        <v>835.159105087596</v>
      </c>
      <c r="K6" s="204">
        <f>'Attached-IEA2020Projected Costs'!M39</f>
        <v>846.786009386821</v>
      </c>
      <c r="L6" s="205">
        <f>'Attached-IEA2020Projected Costs'!K38</f>
        <v>858.483192337245</v>
      </c>
      <c r="M6" s="205">
        <f>'Attached-IEA2020Projected Costs'!L38</f>
        <v>874.993996613156</v>
      </c>
      <c r="N6" s="205">
        <f>'Attached-IEA2020Projected Costs'!M38</f>
        <v>887.175473650338</v>
      </c>
      <c r="O6" s="183">
        <f>AVERAGE('Attached-DIB_GNESTE_Solar_Power'!V66:V68)</f>
        <v>787.414483333333</v>
      </c>
      <c r="P6" s="203"/>
      <c r="V6" s="216">
        <v>169.75</v>
      </c>
      <c r="W6" s="216"/>
      <c r="X6" s="216">
        <v>563.37</v>
      </c>
      <c r="Y6" s="216">
        <v>912.72</v>
      </c>
      <c r="Z6" s="216">
        <v>1278.24</v>
      </c>
      <c r="AA6" s="216">
        <v>1626.29</v>
      </c>
      <c r="AB6" s="216">
        <v>1894.82</v>
      </c>
      <c r="AC6" s="231"/>
      <c r="AD6" s="216">
        <v>719.52</v>
      </c>
      <c r="AE6" s="216">
        <v>1210.5</v>
      </c>
      <c r="AF6" s="216">
        <v>1604.45</v>
      </c>
      <c r="AG6" s="216">
        <v>1916.62</v>
      </c>
      <c r="AH6" s="216">
        <v>2057.92</v>
      </c>
      <c r="BD6" s="178" t="s">
        <v>76</v>
      </c>
      <c r="BE6" s="179">
        <v>7.67584189675027</v>
      </c>
      <c r="BF6" s="179">
        <v>18.5073242905976</v>
      </c>
      <c r="BG6" s="179">
        <v>29.0197168611762</v>
      </c>
      <c r="BH6" s="179">
        <v>21.6373336888947</v>
      </c>
      <c r="BI6" s="179">
        <v>52.5443188536844</v>
      </c>
      <c r="BK6" s="178" t="s">
        <v>98</v>
      </c>
      <c r="BP6" s="237"/>
      <c r="BZ6" s="182" t="s">
        <v>9</v>
      </c>
      <c r="CA6" s="373">
        <v>4.0683</v>
      </c>
      <c r="CB6" s="241">
        <v>5.0922</v>
      </c>
      <c r="CC6" s="381">
        <v>7.28306</v>
      </c>
      <c r="CD6" s="241">
        <v>7.73092065441673</v>
      </c>
      <c r="CE6" s="382">
        <v>18.4935160413805</v>
      </c>
      <c r="CP6" t="s">
        <v>117</v>
      </c>
      <c r="CQ6" s="371">
        <v>4.0683</v>
      </c>
      <c r="CR6" s="371">
        <v>5.0922</v>
      </c>
      <c r="CS6" s="371">
        <v>7.28306</v>
      </c>
      <c r="CT6" s="371">
        <v>7.73092065441673</v>
      </c>
      <c r="CU6" s="371">
        <v>18.4935160413805</v>
      </c>
    </row>
    <row r="7" spans="4:99">
      <c r="D7" s="182"/>
      <c r="E7" s="190" t="s">
        <v>44</v>
      </c>
      <c r="F7" s="183"/>
      <c r="G7" s="184"/>
      <c r="H7" s="188">
        <f>'Attached-IRENA2024 report'!J24</f>
        <v>730.770056340242</v>
      </c>
      <c r="I7" s="183"/>
      <c r="J7" s="183"/>
      <c r="K7" s="183"/>
      <c r="L7" s="184"/>
      <c r="M7" s="184"/>
      <c r="N7" s="184"/>
      <c r="O7" s="183">
        <f>AVERAGE('Attached-DIB_GNESTE_Solar_Power'!X89:X90)</f>
        <v>757.7542</v>
      </c>
      <c r="P7" s="203"/>
      <c r="BD7" s="178" t="s">
        <v>118</v>
      </c>
      <c r="BE7" s="179">
        <v>1358.99883116492</v>
      </c>
      <c r="BF7" s="179">
        <v>3515.15317675976</v>
      </c>
      <c r="BG7" s="179">
        <v>7294.60650334899</v>
      </c>
      <c r="BH7" s="179">
        <v>3642.19844045984</v>
      </c>
      <c r="BI7" s="179">
        <v>7915.9965637138</v>
      </c>
      <c r="BK7" s="178" t="s">
        <v>98</v>
      </c>
      <c r="BP7" s="237"/>
      <c r="BZ7" s="182" t="s">
        <v>10</v>
      </c>
      <c r="CA7" s="373">
        <v>517.55648</v>
      </c>
      <c r="CB7" s="241">
        <v>1468.53</v>
      </c>
      <c r="CC7" s="381">
        <v>2980.71108</v>
      </c>
      <c r="CD7" s="241">
        <v>1503.0015435716</v>
      </c>
      <c r="CE7" s="382">
        <v>3089.98596973911</v>
      </c>
      <c r="CP7" t="s">
        <v>67</v>
      </c>
      <c r="CQ7" s="371">
        <v>517.55648</v>
      </c>
      <c r="CR7" s="371">
        <v>1468.53</v>
      </c>
      <c r="CS7" s="371">
        <v>2980.71108</v>
      </c>
      <c r="CT7" s="371">
        <v>1503.0015435716</v>
      </c>
      <c r="CU7" s="371">
        <v>3089.98596973911</v>
      </c>
    </row>
    <row r="8" spans="4:99">
      <c r="D8" s="182"/>
      <c r="E8" s="467" t="s">
        <v>45</v>
      </c>
      <c r="F8" s="183"/>
      <c r="G8" s="184"/>
      <c r="H8" s="188">
        <f>'Attached-IRENA2024 report'!J26</f>
        <v>932.69057682304</v>
      </c>
      <c r="I8" s="183"/>
      <c r="J8" s="183"/>
      <c r="K8" s="183"/>
      <c r="L8" s="184"/>
      <c r="M8" s="184"/>
      <c r="N8" s="184"/>
      <c r="O8" s="183"/>
      <c r="P8" s="203"/>
      <c r="BD8" s="178" t="s">
        <v>119</v>
      </c>
      <c r="BE8" s="179">
        <v>10.803</v>
      </c>
      <c r="BF8" s="179">
        <v>43.1567719755572</v>
      </c>
      <c r="BG8" s="179">
        <v>134.83278</v>
      </c>
      <c r="BH8" s="179">
        <v>49.9698030641612</v>
      </c>
      <c r="BI8" s="179">
        <v>200.453311376089</v>
      </c>
      <c r="BK8" s="178" t="s">
        <v>98</v>
      </c>
      <c r="BP8" s="238"/>
      <c r="BZ8" s="251" t="s">
        <v>11</v>
      </c>
      <c r="CA8" s="373">
        <v>62.92728</v>
      </c>
      <c r="CB8" s="241">
        <v>151.22688</v>
      </c>
      <c r="CC8" s="381">
        <v>397.2898</v>
      </c>
      <c r="CD8" s="241">
        <v>162.887184264523</v>
      </c>
      <c r="CE8" s="382">
        <v>477.542400753625</v>
      </c>
      <c r="CP8" t="s">
        <v>120</v>
      </c>
      <c r="CQ8" s="371">
        <v>62.92728</v>
      </c>
      <c r="CR8" s="371">
        <v>151.22688</v>
      </c>
      <c r="CS8" s="371">
        <v>397.2898</v>
      </c>
      <c r="CT8" s="371">
        <v>162.887184264523</v>
      </c>
      <c r="CU8" s="371">
        <v>477.542400753625</v>
      </c>
    </row>
    <row r="9" spans="4:99">
      <c r="D9" s="182"/>
      <c r="E9" s="183" t="s">
        <v>46</v>
      </c>
      <c r="F9" s="183"/>
      <c r="G9" s="184"/>
      <c r="H9" s="188">
        <f>'Attached-IRENA2024 report'!J28</f>
        <v>723.269642287587</v>
      </c>
      <c r="I9" s="183"/>
      <c r="J9" s="183"/>
      <c r="K9" s="183"/>
      <c r="L9" s="184"/>
      <c r="M9" s="184"/>
      <c r="N9" s="184"/>
      <c r="O9" s="183"/>
      <c r="P9" s="203"/>
      <c r="BD9" s="178" t="s">
        <v>121</v>
      </c>
      <c r="BE9" s="179">
        <v>27.9456</v>
      </c>
      <c r="BF9" s="179">
        <v>80.7119331214119</v>
      </c>
      <c r="BG9" s="179">
        <v>217.87728</v>
      </c>
      <c r="BH9" s="179">
        <v>135.690405698543</v>
      </c>
      <c r="BI9" s="179">
        <v>425.571914891817</v>
      </c>
      <c r="BK9" s="178" t="s">
        <v>98</v>
      </c>
      <c r="BP9" s="238"/>
      <c r="BZ9" s="173" t="s">
        <v>8</v>
      </c>
      <c r="CA9" s="373">
        <v>205.28768</v>
      </c>
      <c r="CB9" s="241">
        <v>213.4673</v>
      </c>
      <c r="CC9" s="381">
        <v>203.0496</v>
      </c>
      <c r="CD9" s="241">
        <v>281.258326702926</v>
      </c>
      <c r="CE9" s="382">
        <v>334.702389942957</v>
      </c>
      <c r="CP9" t="s">
        <v>122</v>
      </c>
      <c r="CQ9" s="371">
        <v>205.28768</v>
      </c>
      <c r="CR9" s="371">
        <v>213.4673</v>
      </c>
      <c r="CS9" s="371">
        <v>203.0496</v>
      </c>
      <c r="CT9" s="371">
        <v>281.258326702926</v>
      </c>
      <c r="CU9" s="371">
        <v>334.702389942957</v>
      </c>
    </row>
    <row r="10" spans="4:99">
      <c r="D10" s="182"/>
      <c r="E10" s="190" t="s">
        <v>47</v>
      </c>
      <c r="F10" s="183"/>
      <c r="G10" s="184"/>
      <c r="H10" s="188">
        <f>'Attached-IRENA2024 report'!J30</f>
        <v>954.780120798756</v>
      </c>
      <c r="I10" s="204" cm="1">
        <f t="array" ref="I10:K10">'Attached-IEA2020Projected Costs'!K21:M21</f>
        <v>718.771903579064</v>
      </c>
      <c r="J10" s="183">
        <v>732.59570621719</v>
      </c>
      <c r="K10" s="183">
        <v>742.794745076159</v>
      </c>
      <c r="L10" s="184">
        <f>AVERAGE('Attached-IEA2020Projected Costs'!K19:K20)</f>
        <v>1293.78942644231</v>
      </c>
      <c r="M10" s="184">
        <f>AVERAGE('Attached-IEA2020Projected Costs'!L19:L20)</f>
        <v>1318.67227119094</v>
      </c>
      <c r="N10" s="184">
        <f>AVERAGE('Attached-IEA2020Projected Costs'!M19:M20)</f>
        <v>1337.03054113709</v>
      </c>
      <c r="O10" s="183"/>
      <c r="P10" s="203"/>
      <c r="V10" t="s">
        <v>48</v>
      </c>
      <c r="BD10" s="178" t="s">
        <v>87</v>
      </c>
      <c r="BE10" s="179">
        <v>1809.92775633801</v>
      </c>
      <c r="BF10" s="179">
        <v>4335.57849567473</v>
      </c>
      <c r="BG10" s="179">
        <v>8749.85368543885</v>
      </c>
      <c r="BH10" s="179">
        <v>4684.35518991437</v>
      </c>
      <c r="BI10" s="179">
        <v>10011.4196143134</v>
      </c>
      <c r="BJ10" s="178">
        <v>4759.13966470609</v>
      </c>
      <c r="BK10" s="178">
        <v>10532.9374083981</v>
      </c>
      <c r="BP10" s="239"/>
      <c r="BZ10" s="183" t="s">
        <v>85</v>
      </c>
      <c r="CA10" s="242">
        <v>49.6476370485041</v>
      </c>
      <c r="CB10" s="241">
        <v>94.2333272301783</v>
      </c>
      <c r="CC10" s="382">
        <v>278.217868786672</v>
      </c>
      <c r="CD10" s="241">
        <v>151.00202439753</v>
      </c>
      <c r="CE10" s="382">
        <v>536.308753830223</v>
      </c>
      <c r="CP10" t="s">
        <v>75</v>
      </c>
      <c r="CQ10" s="371">
        <v>49.6476370485041</v>
      </c>
      <c r="CR10" s="371">
        <v>94.2333272301783</v>
      </c>
      <c r="CS10" s="371">
        <v>278.217868786672</v>
      </c>
      <c r="CT10" s="371">
        <v>151.00202439753</v>
      </c>
      <c r="CU10" s="371">
        <v>536.308753830223</v>
      </c>
    </row>
    <row r="11" spans="4:68">
      <c r="D11" s="182"/>
      <c r="E11" s="467" t="s">
        <v>49</v>
      </c>
      <c r="F11" s="183"/>
      <c r="G11" s="184"/>
      <c r="H11" s="188">
        <f>'Attached-IRENA2024 report'!J32</f>
        <v>821.340789143001</v>
      </c>
      <c r="I11" s="183">
        <f>AVERAGE('Attached-IEA2020Projected Costs'!K31:K32)</f>
        <v>844.088155965248</v>
      </c>
      <c r="J11" s="183">
        <f>AVERAGE('Attached-IEA2020Projected Costs'!L31:L32)</f>
        <v>860.322107263484</v>
      </c>
      <c r="K11" s="183">
        <f>AVERAGE('Attached-IEA2020Projected Costs'!M31:M32)</f>
        <v>872.299325432723</v>
      </c>
      <c r="L11" s="184">
        <f>AVERAGE('Attached-IEA2020Projected Costs'!K26:K30)</f>
        <v>1347.02977522693</v>
      </c>
      <c r="M11" s="184">
        <f>AVERAGE('Attached-IEA2020Projected Costs'!L26:L30)</f>
        <v>1372.93656661331</v>
      </c>
      <c r="N11" s="184">
        <f>AVERAGE('Attached-IEA2020Projected Costs'!M26:M30)</f>
        <v>1392.05029233536</v>
      </c>
      <c r="O11" s="183"/>
      <c r="P11" s="203"/>
      <c r="V11" s="212"/>
      <c r="W11" s="213"/>
      <c r="X11" s="212" t="s">
        <v>40</v>
      </c>
      <c r="Y11" s="212"/>
      <c r="Z11" s="212"/>
      <c r="AA11" s="212"/>
      <c r="AB11" s="212"/>
      <c r="AC11" s="213"/>
      <c r="AD11" s="212" t="s">
        <v>41</v>
      </c>
      <c r="AE11" s="212"/>
      <c r="AF11" s="212"/>
      <c r="AG11" s="212"/>
      <c r="AH11" s="212"/>
      <c r="BD11" s="178" t="s">
        <v>123</v>
      </c>
      <c r="BE11" s="178"/>
      <c r="BF11" s="178"/>
      <c r="BG11" s="178"/>
      <c r="BH11" s="178"/>
      <c r="BI11" s="178"/>
      <c r="BP11" s="240"/>
    </row>
    <row r="12" spans="4:99">
      <c r="D12" s="182"/>
      <c r="E12" s="467" t="s">
        <v>50</v>
      </c>
      <c r="F12" s="183"/>
      <c r="G12" s="184"/>
      <c r="H12" s="192">
        <f>'Attached-IRENA2024 report'!J57</f>
        <v>670.767173185107</v>
      </c>
      <c r="I12" s="183"/>
      <c r="J12" s="183"/>
      <c r="K12" s="183"/>
      <c r="L12" s="184"/>
      <c r="M12" s="184"/>
      <c r="N12" s="184"/>
      <c r="O12" s="183"/>
      <c r="P12" s="203"/>
      <c r="V12" s="214">
        <v>2023</v>
      </c>
      <c r="W12" s="215"/>
      <c r="X12" s="214">
        <v>2030</v>
      </c>
      <c r="Y12" s="214">
        <v>2035</v>
      </c>
      <c r="Z12" s="214">
        <v>2040</v>
      </c>
      <c r="AA12" s="214">
        <v>2045</v>
      </c>
      <c r="AB12" s="214">
        <v>2050</v>
      </c>
      <c r="AC12" s="215"/>
      <c r="AD12" s="214">
        <v>2030</v>
      </c>
      <c r="AE12" s="214">
        <v>2035</v>
      </c>
      <c r="AF12" s="214">
        <v>2040</v>
      </c>
      <c r="AG12" s="214">
        <v>2045</v>
      </c>
      <c r="AH12" s="214">
        <v>2050</v>
      </c>
      <c r="BD12" s="178" t="s">
        <v>113</v>
      </c>
      <c r="BE12" s="179">
        <v>11.6159888187993</v>
      </c>
      <c r="BF12" s="179">
        <v>21.6183882934073</v>
      </c>
      <c r="BG12" s="179">
        <v>30.8514624791468</v>
      </c>
      <c r="BH12" s="179">
        <v>23.8348606102998</v>
      </c>
      <c r="BI12" s="179">
        <v>32.8472152587635</v>
      </c>
      <c r="BK12" s="178" t="s">
        <v>98</v>
      </c>
      <c r="BM12" s="241">
        <f>BE3+BE12</f>
        <v>312.887360420677</v>
      </c>
      <c r="BN12" s="241">
        <f t="shared" ref="BN12:BS19" si="0">BF3+BF12</f>
        <v>582.31120528684</v>
      </c>
      <c r="BO12" s="241">
        <f t="shared" si="0"/>
        <v>831.012564732767</v>
      </c>
      <c r="BP12" s="241">
        <f t="shared" si="0"/>
        <v>642.013929135501</v>
      </c>
      <c r="BQ12" s="241">
        <f t="shared" si="0"/>
        <v>884.770004500277</v>
      </c>
      <c r="BR12" s="179" t="s">
        <v>98</v>
      </c>
      <c r="BS12" s="179" t="s">
        <v>98</v>
      </c>
      <c r="CP12" t="s">
        <v>39</v>
      </c>
      <c r="CQ12" s="371">
        <f t="shared" ref="CQ12:CQ19" si="1">CA3+CA24</f>
        <v>308.30415</v>
      </c>
      <c r="CR12" s="371">
        <f t="shared" ref="CR12:CR19" si="2">CB3+CB24</f>
        <v>472.1348</v>
      </c>
      <c r="CS12" s="371">
        <f t="shared" ref="CS12:CS19" si="3">CC3+CC24</f>
        <v>576.7835</v>
      </c>
      <c r="CT12" s="371">
        <f t="shared" ref="CT12:CT19" si="4">CD3+CD24</f>
        <v>619.263673603676</v>
      </c>
      <c r="CU12" s="371">
        <f t="shared" ref="CU12:CU19" si="5">CE3+CE24</f>
        <v>801.090782688356</v>
      </c>
    </row>
    <row r="13" spans="4:99">
      <c r="D13" s="182"/>
      <c r="E13" s="467" t="s">
        <v>51</v>
      </c>
      <c r="F13" s="183"/>
      <c r="G13" s="184"/>
      <c r="H13" s="192">
        <f>'Attached-IRENA2024 report'!J58</f>
        <v>715.36</v>
      </c>
      <c r="I13" s="183"/>
      <c r="J13" s="183"/>
      <c r="K13" s="183"/>
      <c r="L13" s="184"/>
      <c r="M13" s="184"/>
      <c r="N13" s="184"/>
      <c r="O13" s="183"/>
      <c r="P13" s="203"/>
      <c r="V13" s="216">
        <v>41.48</v>
      </c>
      <c r="W13" s="216"/>
      <c r="X13" s="216">
        <v>91.81</v>
      </c>
      <c r="Y13" s="216">
        <v>106.1</v>
      </c>
      <c r="Z13" s="216">
        <v>120.79</v>
      </c>
      <c r="AA13" s="216">
        <v>135.53</v>
      </c>
      <c r="AB13" s="216">
        <v>150.96</v>
      </c>
      <c r="AC13" s="231"/>
      <c r="AD13" s="216">
        <v>135.34</v>
      </c>
      <c r="AE13" s="216">
        <v>175.49</v>
      </c>
      <c r="AF13" s="216">
        <v>201.5</v>
      </c>
      <c r="AG13" s="216">
        <v>223.35</v>
      </c>
      <c r="AH13" s="216">
        <v>245.87</v>
      </c>
      <c r="BD13" s="178" t="s">
        <v>114</v>
      </c>
      <c r="BE13" s="179">
        <v>-2.71969912642705</v>
      </c>
      <c r="BF13" s="179">
        <v>-4.83725364657271</v>
      </c>
      <c r="BG13" s="179">
        <v>-8.099594445642</v>
      </c>
      <c r="BH13" s="179">
        <v>-6.48122858101699</v>
      </c>
      <c r="BI13" s="179">
        <v>-13.6201805536902</v>
      </c>
      <c r="BK13" s="178" t="s">
        <v>98</v>
      </c>
      <c r="BM13" s="241">
        <f t="shared" ref="BM13:BM19" si="6">BE4+BE13</f>
        <v>49.5178956321351</v>
      </c>
      <c r="BN13" s="241">
        <f t="shared" si="0"/>
        <v>88.0724705500189</v>
      </c>
      <c r="BO13" s="241">
        <f t="shared" si="0"/>
        <v>147.470309684157</v>
      </c>
      <c r="BP13" s="241">
        <f t="shared" si="0"/>
        <v>118.004523854967</v>
      </c>
      <c r="BQ13" s="241">
        <f t="shared" si="0"/>
        <v>247.984298187614</v>
      </c>
      <c r="BR13" s="179" t="s">
        <v>98</v>
      </c>
      <c r="BS13" s="179" t="s">
        <v>98</v>
      </c>
      <c r="BZ13" s="374"/>
      <c r="CA13" s="375"/>
      <c r="CC13" s="383"/>
      <c r="CE13" s="384"/>
      <c r="CP13" t="s">
        <v>115</v>
      </c>
      <c r="CQ13" s="371">
        <f t="shared" si="1"/>
        <v>27.5842</v>
      </c>
      <c r="CR13" s="371">
        <f t="shared" si="2"/>
        <v>37.18305</v>
      </c>
      <c r="CS13" s="371">
        <f t="shared" si="3"/>
        <v>44.5332</v>
      </c>
      <c r="CT13" s="371">
        <f t="shared" si="4"/>
        <v>61.504882952315</v>
      </c>
      <c r="CU13" s="371">
        <f t="shared" si="5"/>
        <v>92.197607649404</v>
      </c>
    </row>
    <row r="14" spans="4:99">
      <c r="D14" s="182"/>
      <c r="E14" s="467" t="s">
        <v>52</v>
      </c>
      <c r="F14" s="183"/>
      <c r="G14" s="184"/>
      <c r="H14" s="183">
        <f>'Attached-IRENA2024 report'!J62</f>
        <v>1078</v>
      </c>
      <c r="I14" s="204">
        <f>'Attached-IEA2020Projected Costs'!K25</f>
        <v>978.037474432965</v>
      </c>
      <c r="J14" s="204">
        <f>'Attached-IEA2020Projected Costs'!L25</f>
        <v>996.847610098994</v>
      </c>
      <c r="K14" s="204">
        <f>'Attached-IEA2020Projected Costs'!M25</f>
        <v>1010.72550676913</v>
      </c>
      <c r="L14" s="184">
        <f>AVERAGE('Attached-IEA2020Projected Costs'!K22:K24)</f>
        <v>1445.27196682721</v>
      </c>
      <c r="M14" s="184">
        <f>AVERAGE('Attached-IEA2020Projected Costs'!L22:L24)</f>
        <v>1473.06820417086</v>
      </c>
      <c r="N14" s="184">
        <f>AVERAGE('Attached-IEA2020Projected Costs'!M22:M24)</f>
        <v>1493.57594087851</v>
      </c>
      <c r="O14" s="183"/>
      <c r="P14" s="203"/>
      <c r="BD14" s="178" t="s">
        <v>116</v>
      </c>
      <c r="BE14" s="179">
        <v>20.053988458713</v>
      </c>
      <c r="BF14" s="179">
        <v>44.3889858040299</v>
      </c>
      <c r="BG14" s="179">
        <v>99.3969181743412</v>
      </c>
      <c r="BH14" s="179">
        <v>52.0444074630328</v>
      </c>
      <c r="BI14" s="179">
        <v>110.665115683465</v>
      </c>
      <c r="BK14" s="178" t="s">
        <v>98</v>
      </c>
      <c r="BM14" s="241">
        <f t="shared" si="6"/>
        <v>321.700549004755</v>
      </c>
      <c r="BN14" s="241">
        <f t="shared" si="0"/>
        <v>712.075861234283</v>
      </c>
      <c r="BO14" s="241">
        <f t="shared" si="0"/>
        <v>1594.49793301207</v>
      </c>
      <c r="BP14" s="241">
        <f t="shared" si="0"/>
        <v>834.882022992824</v>
      </c>
      <c r="BQ14" s="241">
        <f t="shared" si="0"/>
        <v>1775.25924802142</v>
      </c>
      <c r="BR14" s="179" t="s">
        <v>98</v>
      </c>
      <c r="BS14" s="179" t="s">
        <v>98</v>
      </c>
      <c r="BZ14" s="374"/>
      <c r="CA14" s="375"/>
      <c r="CC14" s="383"/>
      <c r="CE14" s="384"/>
      <c r="CP14" t="s">
        <v>37</v>
      </c>
      <c r="CQ14" s="371">
        <f t="shared" si="1"/>
        <v>391.27375</v>
      </c>
      <c r="CR14" s="371">
        <f t="shared" si="2"/>
        <v>802.80225</v>
      </c>
      <c r="CS14" s="371">
        <f t="shared" si="3"/>
        <v>1885.3459</v>
      </c>
      <c r="CT14" s="371">
        <f t="shared" si="4"/>
        <v>1041.81317931414</v>
      </c>
      <c r="CU14" s="371">
        <f t="shared" si="5"/>
        <v>2124.47738481131</v>
      </c>
    </row>
    <row r="15" spans="4:99">
      <c r="D15" s="182"/>
      <c r="E15" s="467" t="s">
        <v>53</v>
      </c>
      <c r="F15" s="183"/>
      <c r="G15" s="184"/>
      <c r="H15" s="183">
        <f>'Attached-IRENA2024 report'!J63</f>
        <v>965</v>
      </c>
      <c r="I15" s="204">
        <f>'Attached-IEA2020Projected Costs'!K12</f>
        <v>1006.28066501069</v>
      </c>
      <c r="J15" s="204">
        <f>'Attached-IEA2020Projected Costs'!L12</f>
        <v>1025.63398870407</v>
      </c>
      <c r="K15" s="204">
        <f>'Attached-IEA2020Projected Costs'!M12</f>
        <v>1039.91264310662</v>
      </c>
      <c r="L15" s="184">
        <f>AVERAGE('Attached-IEA2020Projected Costs'!K9:K11)</f>
        <v>1419.33491893413</v>
      </c>
      <c r="M15" s="184">
        <f>AVERAGE('Attached-IEA2020Projected Costs'!L9:L11)</f>
        <v>1446.63232121021</v>
      </c>
      <c r="N15" s="184">
        <f>AVERAGE('Attached-IEA2020Projected Costs'!M9:M11)</f>
        <v>1466.77202327705</v>
      </c>
      <c r="O15" s="183"/>
      <c r="P15" s="203"/>
      <c r="BD15" s="178" t="s">
        <v>76</v>
      </c>
      <c r="BE15" s="179">
        <v>0.451859683874956</v>
      </c>
      <c r="BF15" s="179">
        <v>1.08948488202461</v>
      </c>
      <c r="BG15" s="179">
        <v>1.70832597432516</v>
      </c>
      <c r="BH15" s="179">
        <v>1.27374155070861</v>
      </c>
      <c r="BI15" s="179">
        <v>3.09316679864163</v>
      </c>
      <c r="BK15" s="178" t="s">
        <v>98</v>
      </c>
      <c r="BM15" s="241">
        <f t="shared" si="6"/>
        <v>8.12770158062523</v>
      </c>
      <c r="BN15" s="241">
        <f t="shared" si="0"/>
        <v>19.5968091726222</v>
      </c>
      <c r="BO15" s="241">
        <f t="shared" si="0"/>
        <v>30.7280428355014</v>
      </c>
      <c r="BP15" s="241">
        <f t="shared" si="0"/>
        <v>22.9110752396033</v>
      </c>
      <c r="BQ15" s="241">
        <f t="shared" si="0"/>
        <v>55.637485652326</v>
      </c>
      <c r="BR15" s="179" t="s">
        <v>98</v>
      </c>
      <c r="BS15" s="179" t="s">
        <v>98</v>
      </c>
      <c r="BZ15" s="374"/>
      <c r="CA15" s="375"/>
      <c r="CC15" s="383"/>
      <c r="CE15" s="384"/>
      <c r="CP15" t="s">
        <v>117</v>
      </c>
      <c r="CQ15" s="371">
        <f t="shared" si="1"/>
        <v>4.1748</v>
      </c>
      <c r="CR15" s="371">
        <f t="shared" si="2"/>
        <v>5.2371</v>
      </c>
      <c r="CS15" s="371">
        <f t="shared" si="3"/>
        <v>7.4849</v>
      </c>
      <c r="CT15" s="371">
        <f t="shared" si="4"/>
        <v>7.93330077626009</v>
      </c>
      <c r="CU15" s="371">
        <f t="shared" si="5"/>
        <v>18.977639497961</v>
      </c>
    </row>
    <row r="16" spans="4:99">
      <c r="D16" s="182"/>
      <c r="E16" s="468" t="s">
        <v>54</v>
      </c>
      <c r="F16" s="183"/>
      <c r="G16" s="184"/>
      <c r="H16" s="183">
        <f>'Attached-IRENA2024 report'!J64</f>
        <v>854</v>
      </c>
      <c r="I16" s="183"/>
      <c r="J16" s="183"/>
      <c r="K16" s="183"/>
      <c r="L16" s="184"/>
      <c r="M16" s="184"/>
      <c r="N16" s="184"/>
      <c r="O16" s="183"/>
      <c r="P16" s="203"/>
      <c r="V16" t="s">
        <v>39</v>
      </c>
      <c r="BD16" s="178" t="s">
        <v>118</v>
      </c>
      <c r="BE16" s="179">
        <v>42.6025247209736</v>
      </c>
      <c r="BF16" s="179">
        <v>110.194649676458</v>
      </c>
      <c r="BG16" s="179">
        <v>228.67470284896</v>
      </c>
      <c r="BH16" s="179">
        <v>114.177323438443</v>
      </c>
      <c r="BI16" s="179">
        <v>248.154326231237</v>
      </c>
      <c r="BK16" s="178" t="s">
        <v>98</v>
      </c>
      <c r="BM16" s="241">
        <f t="shared" si="6"/>
        <v>1401.60135588589</v>
      </c>
      <c r="BN16" s="241">
        <f t="shared" si="0"/>
        <v>3625.34782643622</v>
      </c>
      <c r="BO16" s="241">
        <f t="shared" si="0"/>
        <v>7523.28120619795</v>
      </c>
      <c r="BP16" s="241">
        <f t="shared" si="0"/>
        <v>3756.37576389828</v>
      </c>
      <c r="BQ16" s="241">
        <f t="shared" si="0"/>
        <v>8164.15088994504</v>
      </c>
      <c r="BR16" s="179" t="s">
        <v>98</v>
      </c>
      <c r="BS16" s="179" t="s">
        <v>98</v>
      </c>
      <c r="BZ16" s="374"/>
      <c r="CA16" s="375"/>
      <c r="CC16" s="383"/>
      <c r="CE16" s="384"/>
      <c r="CP16" t="s">
        <v>67</v>
      </c>
      <c r="CQ16" s="371">
        <f t="shared" si="1"/>
        <v>523.0624</v>
      </c>
      <c r="CR16" s="371">
        <f t="shared" si="2"/>
        <v>1484.847</v>
      </c>
      <c r="CS16" s="371">
        <f t="shared" si="3"/>
        <v>3018.4416</v>
      </c>
      <c r="CT16" s="371">
        <f t="shared" si="4"/>
        <v>1518.9909216947</v>
      </c>
      <c r="CU16" s="371">
        <f t="shared" si="5"/>
        <v>3122.85816090654</v>
      </c>
    </row>
    <row r="17" spans="4:99">
      <c r="D17" s="182"/>
      <c r="E17" s="467" t="s">
        <v>55</v>
      </c>
      <c r="F17" s="183"/>
      <c r="G17" s="184"/>
      <c r="H17" s="183">
        <f>'Attached-IRENA2024 report'!J65</f>
        <v>844</v>
      </c>
      <c r="I17" s="183"/>
      <c r="J17" s="183"/>
      <c r="K17" s="183"/>
      <c r="L17" s="184"/>
      <c r="M17" s="184"/>
      <c r="N17" s="184"/>
      <c r="O17" s="183"/>
      <c r="P17" s="203"/>
      <c r="V17" s="212"/>
      <c r="W17" s="213"/>
      <c r="X17" s="212" t="s">
        <v>40</v>
      </c>
      <c r="Y17" s="212"/>
      <c r="Z17" s="212"/>
      <c r="AA17" s="212"/>
      <c r="AB17" s="212"/>
      <c r="AC17" s="213"/>
      <c r="AD17" s="212" t="s">
        <v>41</v>
      </c>
      <c r="AE17" s="212"/>
      <c r="AF17" s="212"/>
      <c r="AG17" s="212"/>
      <c r="AH17" s="212"/>
      <c r="BD17" s="178" t="s">
        <v>119</v>
      </c>
      <c r="BE17" s="179">
        <v>0.553999999999998</v>
      </c>
      <c r="BF17" s="179">
        <v>2.21316779361832</v>
      </c>
      <c r="BG17" s="179">
        <v>6.16881999999998</v>
      </c>
      <c r="BH17" s="179">
        <v>2.56255400329034</v>
      </c>
      <c r="BI17" s="179">
        <v>10.2796569936452</v>
      </c>
      <c r="BK17" s="178" t="s">
        <v>98</v>
      </c>
      <c r="BM17" s="241">
        <f t="shared" si="6"/>
        <v>11.357</v>
      </c>
      <c r="BN17" s="241">
        <f t="shared" si="0"/>
        <v>45.3699397691755</v>
      </c>
      <c r="BO17" s="241">
        <f t="shared" si="0"/>
        <v>141.0016</v>
      </c>
      <c r="BP17" s="241">
        <f t="shared" si="0"/>
        <v>52.5323570674515</v>
      </c>
      <c r="BQ17" s="241">
        <f t="shared" si="0"/>
        <v>210.732968369734</v>
      </c>
      <c r="BR17" s="179" t="s">
        <v>98</v>
      </c>
      <c r="BS17" s="179" t="s">
        <v>98</v>
      </c>
      <c r="BZ17" s="374"/>
      <c r="CA17" s="375"/>
      <c r="CC17" s="383"/>
      <c r="CE17" s="384"/>
      <c r="CP17" t="s">
        <v>120</v>
      </c>
      <c r="CQ17" s="371">
        <f t="shared" si="1"/>
        <v>63.4959</v>
      </c>
      <c r="CR17" s="371">
        <f t="shared" si="2"/>
        <v>152.7168</v>
      </c>
      <c r="CS17" s="371">
        <f t="shared" si="3"/>
        <v>400.148</v>
      </c>
      <c r="CT17" s="371">
        <f t="shared" si="4"/>
        <v>164.359056411491</v>
      </c>
      <c r="CU17" s="371">
        <f t="shared" si="5"/>
        <v>481.85754292911</v>
      </c>
    </row>
    <row r="18" spans="4:99">
      <c r="D18" s="182"/>
      <c r="E18" s="467" t="s">
        <v>56</v>
      </c>
      <c r="F18" s="183"/>
      <c r="G18" s="184"/>
      <c r="H18" s="183">
        <f>'Attached-IRENA2024 report'!J67</f>
        <v>743</v>
      </c>
      <c r="I18" s="183"/>
      <c r="J18" s="183"/>
      <c r="K18" s="183"/>
      <c r="L18" s="184"/>
      <c r="M18" s="184"/>
      <c r="N18" s="184"/>
      <c r="O18" s="183"/>
      <c r="P18" s="203"/>
      <c r="V18" s="214">
        <v>2023</v>
      </c>
      <c r="W18" s="215"/>
      <c r="X18" s="214">
        <v>2030</v>
      </c>
      <c r="Y18" s="214">
        <v>2035</v>
      </c>
      <c r="Z18" s="214">
        <v>2040</v>
      </c>
      <c r="AA18" s="214">
        <v>2045</v>
      </c>
      <c r="AB18" s="214">
        <v>2050</v>
      </c>
      <c r="AC18" s="215"/>
      <c r="AD18" s="214">
        <v>2030</v>
      </c>
      <c r="AE18" s="214">
        <v>2035</v>
      </c>
      <c r="AF18" s="214">
        <v>2040</v>
      </c>
      <c r="AG18" s="214">
        <v>2045</v>
      </c>
      <c r="AH18" s="214">
        <v>2050</v>
      </c>
      <c r="BD18" s="178" t="s">
        <v>121</v>
      </c>
      <c r="BE18" s="179">
        <v>0.937200000000001</v>
      </c>
      <c r="BF18" s="179">
        <v>2.70680263516934</v>
      </c>
      <c r="BG18" s="179">
        <v>6.31046999999998</v>
      </c>
      <c r="BH18" s="179">
        <v>4.55059287403654</v>
      </c>
      <c r="BI18" s="179">
        <v>14.2722288530794</v>
      </c>
      <c r="BK18" s="178" t="s">
        <v>98</v>
      </c>
      <c r="BM18" s="241">
        <f t="shared" si="6"/>
        <v>28.8828</v>
      </c>
      <c r="BN18" s="241">
        <f t="shared" si="0"/>
        <v>83.4187357565812</v>
      </c>
      <c r="BO18" s="241">
        <f t="shared" si="0"/>
        <v>224.18775</v>
      </c>
      <c r="BP18" s="241">
        <f t="shared" si="0"/>
        <v>140.24099857258</v>
      </c>
      <c r="BQ18" s="241">
        <f t="shared" si="0"/>
        <v>439.844143744896</v>
      </c>
      <c r="BR18" s="179" t="s">
        <v>98</v>
      </c>
      <c r="BS18" s="179" t="s">
        <v>98</v>
      </c>
      <c r="BZ18" s="374"/>
      <c r="CA18" s="375"/>
      <c r="CC18" s="383"/>
      <c r="CE18" s="384"/>
      <c r="CP18" t="s">
        <v>122</v>
      </c>
      <c r="CQ18" s="371">
        <f t="shared" si="1"/>
        <v>204.9632</v>
      </c>
      <c r="CR18" s="371">
        <f t="shared" si="2"/>
        <v>213.97475</v>
      </c>
      <c r="CS18" s="371">
        <f t="shared" si="3"/>
        <v>204.10715</v>
      </c>
      <c r="CT18" s="371">
        <f t="shared" si="4"/>
        <v>280.813766650181</v>
      </c>
      <c r="CU18" s="371">
        <f t="shared" si="5"/>
        <v>334.173355606905</v>
      </c>
    </row>
    <row r="19" spans="4:99">
      <c r="D19" s="182"/>
      <c r="E19" s="467" t="s">
        <v>57</v>
      </c>
      <c r="F19" s="183"/>
      <c r="G19" s="184"/>
      <c r="H19" s="183">
        <f>'Attached-IRENA2024 report'!J68</f>
        <v>716</v>
      </c>
      <c r="I19" s="183"/>
      <c r="J19" s="183"/>
      <c r="K19" s="183"/>
      <c r="L19" s="184"/>
      <c r="M19" s="184"/>
      <c r="N19" s="184"/>
      <c r="O19" s="183"/>
      <c r="P19" s="203"/>
      <c r="V19" s="216">
        <v>266.93</v>
      </c>
      <c r="W19" s="216"/>
      <c r="X19" s="216">
        <v>646.76</v>
      </c>
      <c r="Y19" s="216">
        <v>870.02</v>
      </c>
      <c r="Z19" s="216">
        <v>991.11</v>
      </c>
      <c r="AA19" s="216">
        <v>1055.84</v>
      </c>
      <c r="AB19" s="216">
        <v>1078.1</v>
      </c>
      <c r="AC19" s="231"/>
      <c r="AD19" s="216">
        <v>746.62</v>
      </c>
      <c r="AE19" s="216">
        <v>967.2</v>
      </c>
      <c r="AF19" s="216">
        <v>1050.68</v>
      </c>
      <c r="AG19" s="216">
        <v>1081.83</v>
      </c>
      <c r="AH19" s="216">
        <v>1091.41</v>
      </c>
      <c r="BD19" s="178" t="s">
        <v>87</v>
      </c>
      <c r="BE19" s="179">
        <v>115.271036494293</v>
      </c>
      <c r="BF19" s="179">
        <v>276.125179719859</v>
      </c>
      <c r="BG19" s="179">
        <v>557.2624100393</v>
      </c>
      <c r="BH19" s="179">
        <v>298.338138722927</v>
      </c>
      <c r="BI19" s="179">
        <v>637.609270138008</v>
      </c>
      <c r="BJ19" s="178">
        <v>303.10102712703</v>
      </c>
      <c r="BK19" s="178">
        <v>670.823798432762</v>
      </c>
      <c r="BM19" s="241">
        <f t="shared" si="6"/>
        <v>1925.1987928323</v>
      </c>
      <c r="BN19" s="241">
        <f t="shared" si="0"/>
        <v>4611.70367539459</v>
      </c>
      <c r="BO19" s="241">
        <f t="shared" si="0"/>
        <v>9307.11609547815</v>
      </c>
      <c r="BP19" s="241">
        <f t="shared" si="0"/>
        <v>4982.6933286373</v>
      </c>
      <c r="BQ19" s="241">
        <f t="shared" si="0"/>
        <v>10649.0288844514</v>
      </c>
      <c r="BR19" s="241">
        <f t="shared" si="0"/>
        <v>5062.24069183312</v>
      </c>
      <c r="BS19" s="241">
        <f t="shared" si="0"/>
        <v>11203.7612068309</v>
      </c>
      <c r="BZ19" s="376"/>
      <c r="CA19" s="377"/>
      <c r="CC19" s="385"/>
      <c r="CE19" s="384"/>
      <c r="CP19" t="s">
        <v>75</v>
      </c>
      <c r="CQ19" s="371">
        <f t="shared" si="1"/>
        <v>49.9701989044711</v>
      </c>
      <c r="CR19" s="371">
        <f t="shared" si="2"/>
        <v>94.8455633552453</v>
      </c>
      <c r="CS19" s="371">
        <f t="shared" si="3"/>
        <v>280.025456769789</v>
      </c>
      <c r="CT19" s="371">
        <f t="shared" si="4"/>
        <v>151.98308807226</v>
      </c>
      <c r="CU19" s="371">
        <f t="shared" si="5"/>
        <v>539.793164313602</v>
      </c>
    </row>
    <row r="20" spans="4:71">
      <c r="D20" s="182"/>
      <c r="E20" s="467" t="s">
        <v>58</v>
      </c>
      <c r="F20" s="183"/>
      <c r="G20" s="184"/>
      <c r="H20" s="183">
        <f>'Attached-IRENA2024 report'!J69</f>
        <v>705</v>
      </c>
      <c r="I20" s="183"/>
      <c r="J20" s="183"/>
      <c r="K20" s="183"/>
      <c r="L20" s="184"/>
      <c r="M20" s="184"/>
      <c r="N20" s="184"/>
      <c r="O20" s="183"/>
      <c r="P20" s="203"/>
      <c r="BD20" s="178" t="s">
        <v>124</v>
      </c>
      <c r="BE20" s="178"/>
      <c r="BF20" s="178"/>
      <c r="BG20" s="178"/>
      <c r="BH20" s="178"/>
      <c r="BI20" s="178"/>
      <c r="BM20" s="241"/>
      <c r="BN20" s="241"/>
      <c r="BO20" s="241"/>
      <c r="BP20" s="242"/>
      <c r="BQ20" s="241"/>
      <c r="BR20" s="241"/>
      <c r="BS20" s="241"/>
    </row>
    <row r="21" spans="4:99">
      <c r="D21" s="182"/>
      <c r="E21" s="468" t="s">
        <v>59</v>
      </c>
      <c r="F21" s="183"/>
      <c r="G21" s="184"/>
      <c r="H21" s="183">
        <f>'Attached-IRENA2024 report'!J70</f>
        <v>700</v>
      </c>
      <c r="I21" s="183"/>
      <c r="J21" s="183"/>
      <c r="K21" s="183"/>
      <c r="L21" s="184"/>
      <c r="M21" s="184"/>
      <c r="N21" s="184"/>
      <c r="O21" s="183"/>
      <c r="P21" s="203"/>
      <c r="BD21" s="178" t="s">
        <v>113</v>
      </c>
      <c r="BE21" s="179">
        <v>23.2319776375987</v>
      </c>
      <c r="BF21" s="179">
        <v>43.2367765868146</v>
      </c>
      <c r="BG21" s="179">
        <v>61.7029249582936</v>
      </c>
      <c r="BH21" s="179">
        <v>47.6697212205995</v>
      </c>
      <c r="BI21" s="179">
        <v>65.6944305175271</v>
      </c>
      <c r="BK21" s="178" t="s">
        <v>98</v>
      </c>
      <c r="BM21" s="241">
        <f>BE3+BE21</f>
        <v>324.503349239477</v>
      </c>
      <c r="BN21" s="241">
        <f t="shared" ref="BN21:BS28" si="7">BF3+BF21</f>
        <v>603.929593580248</v>
      </c>
      <c r="BO21" s="241">
        <f t="shared" si="7"/>
        <v>861.864027211914</v>
      </c>
      <c r="BP21" s="241">
        <f t="shared" si="7"/>
        <v>665.848789745801</v>
      </c>
      <c r="BQ21" s="241">
        <f t="shared" si="7"/>
        <v>917.61721975904</v>
      </c>
      <c r="BR21" s="179" t="s">
        <v>98</v>
      </c>
      <c r="BS21" s="179" t="s">
        <v>98</v>
      </c>
      <c r="CP21" t="s">
        <v>39</v>
      </c>
      <c r="CQ21" s="371">
        <f t="shared" ref="CQ21:CQ28" si="8">CA3+CA34</f>
        <v>317.11284</v>
      </c>
      <c r="CR21" s="371">
        <f t="shared" ref="CR21:CR28" si="9">CB3+CB34</f>
        <v>486.36352</v>
      </c>
      <c r="CS21" s="371">
        <f t="shared" ref="CS21:CS28" si="10">CC3+CC34</f>
        <v>595.1112</v>
      </c>
      <c r="CT21" s="371">
        <f t="shared" ref="CT21:CT28" si="11">CD3+CD34</f>
        <v>636.956921420924</v>
      </c>
      <c r="CU21" s="371">
        <f t="shared" ref="CU21:CU28" si="12">CE3+CE34</f>
        <v>823.979090765166</v>
      </c>
    </row>
    <row r="22" spans="4:99">
      <c r="D22" s="182"/>
      <c r="E22" s="183" t="s">
        <v>60</v>
      </c>
      <c r="F22" s="183"/>
      <c r="G22" s="184"/>
      <c r="H22" s="183">
        <f>'Attached-IRENA2024 report'!J71</f>
        <v>686</v>
      </c>
      <c r="I22" s="183"/>
      <c r="J22" s="183"/>
      <c r="K22" s="183"/>
      <c r="L22" s="184"/>
      <c r="M22" s="184"/>
      <c r="N22" s="184"/>
      <c r="O22" s="183"/>
      <c r="P22" s="203"/>
      <c r="V22" t="s">
        <v>9</v>
      </c>
      <c r="BD22" s="178" t="s">
        <v>114</v>
      </c>
      <c r="BE22" s="179">
        <v>-5.4393982528541</v>
      </c>
      <c r="BF22" s="179">
        <v>-9.67450729314541</v>
      </c>
      <c r="BG22" s="179">
        <v>-16.199188891284</v>
      </c>
      <c r="BH22" s="179">
        <v>-12.962457162034</v>
      </c>
      <c r="BI22" s="179">
        <v>-27.2403611073804</v>
      </c>
      <c r="BK22" s="178" t="s">
        <v>98</v>
      </c>
      <c r="BM22" s="241">
        <f t="shared" ref="BM22:BM28" si="13">BE4+BE22</f>
        <v>46.798196505708</v>
      </c>
      <c r="BN22" s="241">
        <f t="shared" si="7"/>
        <v>83.2352169034462</v>
      </c>
      <c r="BO22" s="241">
        <f t="shared" si="7"/>
        <v>139.370715238515</v>
      </c>
      <c r="BP22" s="241">
        <f t="shared" si="7"/>
        <v>111.52329527395</v>
      </c>
      <c r="BQ22" s="241">
        <f t="shared" si="7"/>
        <v>234.364117633924</v>
      </c>
      <c r="BR22" s="179" t="s">
        <v>98</v>
      </c>
      <c r="BS22" s="179" t="s">
        <v>98</v>
      </c>
      <c r="CP22" t="s">
        <v>115</v>
      </c>
      <c r="CQ22" s="371">
        <f t="shared" si="8"/>
        <v>26.87904</v>
      </c>
      <c r="CR22" s="371">
        <f t="shared" si="9"/>
        <v>36.17314</v>
      </c>
      <c r="CS22" s="371">
        <f t="shared" si="10"/>
        <v>43.47648</v>
      </c>
      <c r="CT22" s="371">
        <f t="shared" si="11"/>
        <v>59.9325776738348</v>
      </c>
      <c r="CU22" s="371">
        <f t="shared" si="12"/>
        <v>89.8406763260358</v>
      </c>
    </row>
    <row r="23" spans="4:99">
      <c r="D23" s="182"/>
      <c r="E23" s="467" t="s">
        <v>61</v>
      </c>
      <c r="F23" s="183"/>
      <c r="G23" s="184"/>
      <c r="H23" s="183">
        <f>'Attached-IRENA2024 report'!J72</f>
        <v>684</v>
      </c>
      <c r="I23" s="183"/>
      <c r="J23" s="183"/>
      <c r="K23" s="183"/>
      <c r="L23" s="184"/>
      <c r="M23" s="184"/>
      <c r="N23" s="184"/>
      <c r="O23" s="183"/>
      <c r="P23" s="203"/>
      <c r="V23" s="212"/>
      <c r="W23" s="213"/>
      <c r="X23" s="212" t="s">
        <v>40</v>
      </c>
      <c r="Y23" s="212"/>
      <c r="Z23" s="212"/>
      <c r="AA23" s="212"/>
      <c r="AB23" s="212"/>
      <c r="AC23" s="213"/>
      <c r="AD23" s="212" t="s">
        <v>41</v>
      </c>
      <c r="AE23" s="212"/>
      <c r="AF23" s="212"/>
      <c r="AG23" s="212"/>
      <c r="AH23" s="212"/>
      <c r="BD23" s="178" t="s">
        <v>116</v>
      </c>
      <c r="BE23" s="179">
        <v>40.107976917426</v>
      </c>
      <c r="BF23" s="179">
        <v>88.7779716080597</v>
      </c>
      <c r="BG23" s="179">
        <v>198.793836348682</v>
      </c>
      <c r="BH23" s="179">
        <v>104.088814926066</v>
      </c>
      <c r="BI23" s="179">
        <v>221.33023136693</v>
      </c>
      <c r="BK23" s="178" t="s">
        <v>98</v>
      </c>
      <c r="BM23" s="241">
        <f t="shared" si="13"/>
        <v>341.754537463468</v>
      </c>
      <c r="BN23" s="241">
        <f t="shared" si="7"/>
        <v>756.464847038313</v>
      </c>
      <c r="BO23" s="241">
        <f t="shared" si="7"/>
        <v>1693.89485118641</v>
      </c>
      <c r="BP23" s="241">
        <f t="shared" si="7"/>
        <v>886.926430455857</v>
      </c>
      <c r="BQ23" s="241">
        <f t="shared" si="7"/>
        <v>1885.92436370488</v>
      </c>
      <c r="BR23" s="179" t="s">
        <v>98</v>
      </c>
      <c r="BS23" s="179" t="s">
        <v>98</v>
      </c>
      <c r="BZ23" t="s">
        <v>103</v>
      </c>
      <c r="CP23" t="s">
        <v>37</v>
      </c>
      <c r="CQ23" s="371">
        <f t="shared" si="8"/>
        <v>431.5045</v>
      </c>
      <c r="CR23" s="371">
        <f t="shared" si="9"/>
        <v>885.61764</v>
      </c>
      <c r="CS23" s="371">
        <f t="shared" si="10"/>
        <v>2080.51236</v>
      </c>
      <c r="CT23" s="371">
        <f t="shared" si="11"/>
        <v>1148.93236521325</v>
      </c>
      <c r="CU23" s="371">
        <f t="shared" si="12"/>
        <v>2342.91605734939</v>
      </c>
    </row>
    <row r="24" spans="4:99">
      <c r="D24" s="182"/>
      <c r="E24" s="183" t="s">
        <v>62</v>
      </c>
      <c r="F24" s="183"/>
      <c r="G24" s="184"/>
      <c r="H24" s="183">
        <f>'Attached-IRENA2024 report'!J73</f>
        <v>678</v>
      </c>
      <c r="I24" s="204">
        <f>'Attached-IEA2020Projected Costs'!K6</f>
        <v>729.55348213275</v>
      </c>
      <c r="J24" s="204">
        <f>'Attached-IEA2020Projected Costs'!L6</f>
        <v>743.584641810447</v>
      </c>
      <c r="K24" s="204">
        <f>'Attached-IEA2020Projected Costs'!M6</f>
        <v>753.936666252302</v>
      </c>
      <c r="L24" s="205">
        <f>'Attached-IEA2020Projected Costs'!K6</f>
        <v>729.55348213275</v>
      </c>
      <c r="M24" s="205">
        <f>'Attached-IEA2020Projected Costs'!L6</f>
        <v>743.584641810447</v>
      </c>
      <c r="N24" s="205">
        <f>'Attached-IEA2020Projected Costs'!M6</f>
        <v>753.936666252302</v>
      </c>
      <c r="O24" s="183"/>
      <c r="P24" s="203"/>
      <c r="V24" s="214">
        <v>2023</v>
      </c>
      <c r="W24" s="215"/>
      <c r="X24" s="214">
        <v>2030</v>
      </c>
      <c r="Y24" s="214">
        <v>2035</v>
      </c>
      <c r="Z24" s="214">
        <v>2040</v>
      </c>
      <c r="AA24" s="214">
        <v>2045</v>
      </c>
      <c r="AB24" s="214">
        <v>2050</v>
      </c>
      <c r="AC24" s="215"/>
      <c r="AD24" s="214">
        <v>2030</v>
      </c>
      <c r="AE24" s="214">
        <v>2035</v>
      </c>
      <c r="AF24" s="214">
        <v>2040</v>
      </c>
      <c r="AG24" s="214">
        <v>2045</v>
      </c>
      <c r="AH24" s="214">
        <v>2050</v>
      </c>
      <c r="BD24" s="178" t="s">
        <v>76</v>
      </c>
      <c r="BE24" s="179">
        <v>0.903719367749913</v>
      </c>
      <c r="BF24" s="179">
        <v>2.17896976404921</v>
      </c>
      <c r="BG24" s="179">
        <v>3.41665194865032</v>
      </c>
      <c r="BH24" s="179">
        <v>2.54748310141722</v>
      </c>
      <c r="BI24" s="179">
        <v>6.18633359728327</v>
      </c>
      <c r="BK24" s="178" t="s">
        <v>98</v>
      </c>
      <c r="BM24" s="241">
        <f t="shared" si="13"/>
        <v>8.57956126450018</v>
      </c>
      <c r="BN24" s="241">
        <f t="shared" si="7"/>
        <v>20.6862940546468</v>
      </c>
      <c r="BO24" s="241">
        <f t="shared" si="7"/>
        <v>32.4363688098265</v>
      </c>
      <c r="BP24" s="241">
        <f t="shared" si="7"/>
        <v>24.1848167903119</v>
      </c>
      <c r="BQ24" s="241">
        <f t="shared" si="7"/>
        <v>58.7306524509677</v>
      </c>
      <c r="BR24" s="179" t="s">
        <v>98</v>
      </c>
      <c r="BS24" s="179" t="s">
        <v>98</v>
      </c>
      <c r="BZ24" s="182" t="s">
        <v>6</v>
      </c>
      <c r="CA24" s="378">
        <v>8.80869000000001</v>
      </c>
      <c r="CB24" s="241">
        <v>14.22872</v>
      </c>
      <c r="CC24" s="382">
        <v>18.3277</v>
      </c>
      <c r="CD24" s="241">
        <v>17.693247817248</v>
      </c>
      <c r="CE24" s="382">
        <v>22.8883080768102</v>
      </c>
      <c r="CP24" t="s">
        <v>117</v>
      </c>
      <c r="CQ24" s="371">
        <f t="shared" si="8"/>
        <v>4.2813</v>
      </c>
      <c r="CR24" s="371">
        <f t="shared" si="9"/>
        <v>5.382</v>
      </c>
      <c r="CS24" s="371">
        <f t="shared" si="10"/>
        <v>7.68674</v>
      </c>
      <c r="CT24" s="371">
        <f t="shared" si="11"/>
        <v>8.13568089810345</v>
      </c>
      <c r="CU24" s="371">
        <f t="shared" si="12"/>
        <v>19.4617629545416</v>
      </c>
    </row>
    <row r="25" spans="4:99">
      <c r="D25" s="182"/>
      <c r="E25" s="467" t="s">
        <v>63</v>
      </c>
      <c r="F25" s="183"/>
      <c r="G25" s="184"/>
      <c r="H25" s="183">
        <f>'Attached-IRENA2024 report'!J74</f>
        <v>663</v>
      </c>
      <c r="I25" s="183"/>
      <c r="J25" s="183"/>
      <c r="K25" s="183"/>
      <c r="L25" s="184"/>
      <c r="M25" s="184"/>
      <c r="N25" s="184"/>
      <c r="O25" s="183"/>
      <c r="P25" s="203"/>
      <c r="V25" s="216">
        <v>2.13</v>
      </c>
      <c r="W25" s="216"/>
      <c r="X25" s="216">
        <v>4.14</v>
      </c>
      <c r="Y25" s="216">
        <v>4.94</v>
      </c>
      <c r="Z25" s="216">
        <v>6.01</v>
      </c>
      <c r="AA25" s="216">
        <v>7.15</v>
      </c>
      <c r="AB25" s="216">
        <v>8.41</v>
      </c>
      <c r="AC25" s="231"/>
      <c r="AD25" s="216">
        <v>5.49</v>
      </c>
      <c r="AE25" s="216">
        <v>8.85</v>
      </c>
      <c r="AF25" s="216">
        <v>12.61</v>
      </c>
      <c r="AG25" s="216">
        <v>16.55</v>
      </c>
      <c r="AH25" s="216">
        <v>19.87</v>
      </c>
      <c r="BD25" s="178" t="s">
        <v>118</v>
      </c>
      <c r="BE25" s="179">
        <v>85.2050494419473</v>
      </c>
      <c r="BF25" s="179">
        <v>220.389299352915</v>
      </c>
      <c r="BG25" s="179">
        <v>457.34940569792</v>
      </c>
      <c r="BH25" s="179">
        <v>228.354646876885</v>
      </c>
      <c r="BI25" s="179">
        <v>496.308652462474</v>
      </c>
      <c r="BK25" s="178" t="s">
        <v>98</v>
      </c>
      <c r="BM25" s="241">
        <f t="shared" si="13"/>
        <v>1444.20388060687</v>
      </c>
      <c r="BN25" s="241">
        <f t="shared" si="7"/>
        <v>3735.54247611267</v>
      </c>
      <c r="BO25" s="241">
        <f t="shared" si="7"/>
        <v>7751.95590904691</v>
      </c>
      <c r="BP25" s="241">
        <f t="shared" si="7"/>
        <v>3870.55308733673</v>
      </c>
      <c r="BQ25" s="241">
        <f t="shared" si="7"/>
        <v>8412.30521617627</v>
      </c>
      <c r="BR25" s="179" t="s">
        <v>98</v>
      </c>
      <c r="BS25" s="179" t="s">
        <v>98</v>
      </c>
      <c r="BZ25" s="182" t="s">
        <v>14</v>
      </c>
      <c r="CA25" s="378">
        <v>-0.705160000000003</v>
      </c>
      <c r="CB25" s="241">
        <v>-1.00991</v>
      </c>
      <c r="CC25" s="382">
        <v>-1.05672</v>
      </c>
      <c r="CD25" s="241">
        <v>-1.57230527848026</v>
      </c>
      <c r="CE25" s="382">
        <v>-2.3569313233682</v>
      </c>
      <c r="CP25" t="s">
        <v>67</v>
      </c>
      <c r="CQ25" s="371">
        <f t="shared" si="8"/>
        <v>528.56832</v>
      </c>
      <c r="CR25" s="371">
        <f t="shared" si="9"/>
        <v>1501.164</v>
      </c>
      <c r="CS25" s="371">
        <f t="shared" si="10"/>
        <v>3056.17212</v>
      </c>
      <c r="CT25" s="371">
        <f t="shared" si="11"/>
        <v>1534.9802998178</v>
      </c>
      <c r="CU25" s="371">
        <f t="shared" si="12"/>
        <v>3155.73035207397</v>
      </c>
    </row>
    <row r="26" spans="4:99">
      <c r="D26" s="182"/>
      <c r="E26" s="467" t="s">
        <v>64</v>
      </c>
      <c r="F26" s="183"/>
      <c r="G26" s="184"/>
      <c r="H26" s="183">
        <f>'Attached-IRENA2024 report'!J75</f>
        <v>659</v>
      </c>
      <c r="I26" s="183"/>
      <c r="J26" s="183"/>
      <c r="K26" s="183"/>
      <c r="L26" s="184"/>
      <c r="M26" s="184"/>
      <c r="N26" s="184"/>
      <c r="O26" s="183"/>
      <c r="P26" s="203"/>
      <c r="BD26" s="178" t="s">
        <v>119</v>
      </c>
      <c r="BE26" s="179">
        <v>1.108</v>
      </c>
      <c r="BF26" s="179">
        <v>4.42633558723664</v>
      </c>
      <c r="BG26" s="179">
        <v>12.33764</v>
      </c>
      <c r="BH26" s="179">
        <v>5.12510800658069</v>
      </c>
      <c r="BI26" s="179">
        <v>20.5593139872904</v>
      </c>
      <c r="BK26" s="178" t="s">
        <v>98</v>
      </c>
      <c r="BM26" s="241">
        <f t="shared" si="13"/>
        <v>11.911</v>
      </c>
      <c r="BN26" s="241">
        <f t="shared" si="7"/>
        <v>47.5831075627938</v>
      </c>
      <c r="BO26" s="241">
        <f t="shared" si="7"/>
        <v>147.17042</v>
      </c>
      <c r="BP26" s="241">
        <f t="shared" si="7"/>
        <v>55.0949110707419</v>
      </c>
      <c r="BQ26" s="241">
        <f t="shared" si="7"/>
        <v>221.012625363379</v>
      </c>
      <c r="BR26" s="179" t="s">
        <v>98</v>
      </c>
      <c r="BS26" s="179" t="s">
        <v>98</v>
      </c>
      <c r="BZ26" s="182" t="s">
        <v>7</v>
      </c>
      <c r="CA26" s="378">
        <v>40.23075</v>
      </c>
      <c r="CB26" s="241">
        <v>82.81539</v>
      </c>
      <c r="CC26" s="382">
        <v>195.16646</v>
      </c>
      <c r="CD26" s="241">
        <v>107.119185899112</v>
      </c>
      <c r="CE26" s="382">
        <v>218.438672538081</v>
      </c>
      <c r="CP26" t="s">
        <v>120</v>
      </c>
      <c r="CQ26" s="371">
        <f t="shared" si="8"/>
        <v>64.06452</v>
      </c>
      <c r="CR26" s="371">
        <f t="shared" si="9"/>
        <v>154.20672</v>
      </c>
      <c r="CS26" s="371">
        <f t="shared" si="10"/>
        <v>403.0062</v>
      </c>
      <c r="CT26" s="371">
        <f t="shared" si="11"/>
        <v>165.830928558459</v>
      </c>
      <c r="CU26" s="371">
        <f t="shared" si="12"/>
        <v>486.172685104594</v>
      </c>
    </row>
    <row r="27" spans="4:99">
      <c r="D27" s="182"/>
      <c r="E27" s="182" t="s">
        <v>65</v>
      </c>
      <c r="F27" s="183"/>
      <c r="G27" s="184"/>
      <c r="H27" s="183"/>
      <c r="I27" s="183">
        <f>AVERAGE('Attached-IEA2020Projected Costs'!K17:K18)</f>
        <v>587.434644685279</v>
      </c>
      <c r="J27" s="183">
        <f>AVERAGE('Attached-IEA2020Projected Costs'!L17:L18)</f>
        <v>598.732499471325</v>
      </c>
      <c r="K27" s="183">
        <f>AVERAGE('Attached-IEA2020Projected Costs'!M17:M18)</f>
        <v>607.067923739326</v>
      </c>
      <c r="L27" s="184">
        <f>AVERAGE('Attached-IEA2020Projected Costs'!K15:K16)</f>
        <v>1026.75331645407</v>
      </c>
      <c r="M27" s="184">
        <f>AVERAGE('Attached-IEA2020Projected Costs'!L15:L16)</f>
        <v>1046.50038104303</v>
      </c>
      <c r="N27" s="184">
        <f>AVERAGE('Attached-IEA2020Projected Costs'!M15:M16)</f>
        <v>1061.06953284341</v>
      </c>
      <c r="O27" s="183"/>
      <c r="P27" s="203"/>
      <c r="BD27" s="178" t="s">
        <v>121</v>
      </c>
      <c r="BE27" s="179">
        <v>1.8744</v>
      </c>
      <c r="BF27" s="179">
        <v>5.41360527033868</v>
      </c>
      <c r="BG27" s="179">
        <v>12.62094</v>
      </c>
      <c r="BH27" s="179">
        <v>9.10118574807308</v>
      </c>
      <c r="BI27" s="179">
        <v>28.5444577061587</v>
      </c>
      <c r="BK27" s="178" t="s">
        <v>98</v>
      </c>
      <c r="BM27" s="241">
        <f t="shared" si="13"/>
        <v>29.82</v>
      </c>
      <c r="BN27" s="241">
        <f t="shared" si="7"/>
        <v>86.1255383917506</v>
      </c>
      <c r="BO27" s="241">
        <f t="shared" si="7"/>
        <v>230.49822</v>
      </c>
      <c r="BP27" s="241">
        <f t="shared" si="7"/>
        <v>144.791591446616</v>
      </c>
      <c r="BQ27" s="241">
        <f t="shared" si="7"/>
        <v>454.116372597976</v>
      </c>
      <c r="BR27" s="179" t="s">
        <v>98</v>
      </c>
      <c r="BS27" s="179" t="s">
        <v>98</v>
      </c>
      <c r="BZ27" s="182" t="s">
        <v>9</v>
      </c>
      <c r="CA27" s="378">
        <v>0.1065</v>
      </c>
      <c r="CB27" s="241">
        <v>0.1449</v>
      </c>
      <c r="CC27" s="382">
        <v>0.20184</v>
      </c>
      <c r="CD27" s="241">
        <v>0.20238012184336</v>
      </c>
      <c r="CE27" s="382">
        <v>0.484123456580541</v>
      </c>
      <c r="CP27" t="s">
        <v>122</v>
      </c>
      <c r="CQ27" s="371">
        <f t="shared" si="8"/>
        <v>204.63872</v>
      </c>
      <c r="CR27" s="371">
        <f t="shared" si="9"/>
        <v>214.4822</v>
      </c>
      <c r="CS27" s="371">
        <f t="shared" si="10"/>
        <v>205.1647</v>
      </c>
      <c r="CT27" s="371">
        <f t="shared" si="11"/>
        <v>280.369206597436</v>
      </c>
      <c r="CU27" s="371">
        <f t="shared" si="12"/>
        <v>333.644321270852</v>
      </c>
    </row>
    <row r="28" spans="4:99">
      <c r="D28" s="182"/>
      <c r="E28" s="182" t="s">
        <v>66</v>
      </c>
      <c r="F28" s="183"/>
      <c r="G28" s="184"/>
      <c r="H28" s="183"/>
      <c r="I28" s="183"/>
      <c r="J28" s="183"/>
      <c r="K28" s="183"/>
      <c r="L28" s="205">
        <f>'Attached-IEA2020Projected Costs'!K40</f>
        <v>998.35391971396</v>
      </c>
      <c r="M28" s="205">
        <f>'Attached-IEA2020Projected Costs'!L40</f>
        <v>1017.55479203577</v>
      </c>
      <c r="N28" s="205">
        <f>'Attached-IEA2020Projected Costs'!M40</f>
        <v>1031.72096961097</v>
      </c>
      <c r="O28" s="183"/>
      <c r="P28" s="203"/>
      <c r="V28" t="s">
        <v>67</v>
      </c>
      <c r="BD28" s="178" t="s">
        <v>87</v>
      </c>
      <c r="BE28" s="179">
        <v>230.542072988585</v>
      </c>
      <c r="BF28" s="179">
        <v>552.250359439719</v>
      </c>
      <c r="BG28" s="179">
        <v>1114.5248200786</v>
      </c>
      <c r="BH28" s="179">
        <v>596.676277445855</v>
      </c>
      <c r="BI28" s="179">
        <v>1275.21854027602</v>
      </c>
      <c r="BJ28" s="178">
        <v>606.202054254059</v>
      </c>
      <c r="BK28" s="178">
        <v>1341.64759686552</v>
      </c>
      <c r="BM28" s="241">
        <f t="shared" si="13"/>
        <v>2040.4698293266</v>
      </c>
      <c r="BN28" s="241">
        <f t="shared" si="7"/>
        <v>4887.82885511445</v>
      </c>
      <c r="BO28" s="241">
        <f t="shared" si="7"/>
        <v>9864.37850551745</v>
      </c>
      <c r="BP28" s="241">
        <f t="shared" si="7"/>
        <v>5281.03146736023</v>
      </c>
      <c r="BQ28" s="241">
        <f t="shared" si="7"/>
        <v>11286.6381545894</v>
      </c>
      <c r="BR28" s="241">
        <f t="shared" si="7"/>
        <v>5365.34171896015</v>
      </c>
      <c r="BS28" s="241">
        <f t="shared" si="7"/>
        <v>11874.5850052636</v>
      </c>
      <c r="BZ28" s="182" t="s">
        <v>10</v>
      </c>
      <c r="CA28" s="378">
        <v>5.50592000000006</v>
      </c>
      <c r="CB28" s="241">
        <v>16.317</v>
      </c>
      <c r="CC28" s="382">
        <v>37.7305200000001</v>
      </c>
      <c r="CD28" s="241">
        <v>15.9893781230987</v>
      </c>
      <c r="CE28" s="382">
        <v>32.8721911674315</v>
      </c>
      <c r="CP28" t="s">
        <v>75</v>
      </c>
      <c r="CQ28" s="371">
        <f t="shared" si="8"/>
        <v>50.2927607604382</v>
      </c>
      <c r="CR28" s="371">
        <f t="shared" si="9"/>
        <v>95.4577994803122</v>
      </c>
      <c r="CS28" s="371">
        <f t="shared" si="10"/>
        <v>281.833044752906</v>
      </c>
      <c r="CT28" s="371">
        <f t="shared" si="11"/>
        <v>152.96415174699</v>
      </c>
      <c r="CU28" s="371">
        <f t="shared" si="12"/>
        <v>543.277574796981</v>
      </c>
    </row>
    <row r="29" spans="4:83">
      <c r="D29" s="182"/>
      <c r="E29" s="182" t="s">
        <v>68</v>
      </c>
      <c r="F29" s="183"/>
      <c r="G29" s="184"/>
      <c r="H29" s="183"/>
      <c r="I29" s="183"/>
      <c r="J29" s="183"/>
      <c r="K29" s="183"/>
      <c r="L29" s="184"/>
      <c r="M29" s="184"/>
      <c r="N29" s="184"/>
      <c r="O29" s="183"/>
      <c r="P29" s="203"/>
      <c r="V29" s="212"/>
      <c r="W29" s="213"/>
      <c r="X29" s="212" t="s">
        <v>40</v>
      </c>
      <c r="Y29" s="212"/>
      <c r="Z29" s="212"/>
      <c r="AA29" s="212"/>
      <c r="AB29" s="212"/>
      <c r="AC29" s="213"/>
      <c r="AD29" s="212" t="s">
        <v>41</v>
      </c>
      <c r="AE29" s="212"/>
      <c r="AF29" s="212"/>
      <c r="AG29" s="212"/>
      <c r="AH29" s="212"/>
      <c r="BD29" s="178" t="s">
        <v>125</v>
      </c>
      <c r="BE29" s="178"/>
      <c r="BF29" s="178"/>
      <c r="BG29" s="178"/>
      <c r="BH29" s="178"/>
      <c r="BI29" s="178"/>
      <c r="BM29" s="241"/>
      <c r="BN29" s="241"/>
      <c r="BO29" s="241"/>
      <c r="BP29" s="242"/>
      <c r="BQ29" s="241"/>
      <c r="BR29" s="241"/>
      <c r="BS29" s="241"/>
      <c r="BZ29" s="251" t="s">
        <v>11</v>
      </c>
      <c r="CA29" s="378">
        <v>0.568619999999996</v>
      </c>
      <c r="CB29" s="241">
        <v>1.48992000000001</v>
      </c>
      <c r="CC29" s="382">
        <v>2.85820000000001</v>
      </c>
      <c r="CD29" s="241">
        <v>1.4718721469682</v>
      </c>
      <c r="CE29" s="382">
        <v>4.31514217548454</v>
      </c>
    </row>
    <row r="30" spans="4:99">
      <c r="D30" s="182" t="s">
        <v>69</v>
      </c>
      <c r="E30" s="182" t="s">
        <v>70</v>
      </c>
      <c r="F30" s="183"/>
      <c r="G30" s="184"/>
      <c r="H30" s="188">
        <f>'Attached-IRENA2024 report'!J50</f>
        <v>953.806790727526</v>
      </c>
      <c r="I30" s="183"/>
      <c r="J30" s="183"/>
      <c r="K30" s="183"/>
      <c r="L30" s="184"/>
      <c r="M30" s="184"/>
      <c r="N30" s="184"/>
      <c r="O30" s="183"/>
      <c r="P30" s="203"/>
      <c r="V30" s="214">
        <v>2023</v>
      </c>
      <c r="W30" s="215"/>
      <c r="X30" s="214">
        <v>2030</v>
      </c>
      <c r="Y30" s="214">
        <v>2035</v>
      </c>
      <c r="Z30" s="214">
        <v>2040</v>
      </c>
      <c r="AA30" s="214">
        <v>2045</v>
      </c>
      <c r="AB30" s="214">
        <v>2050</v>
      </c>
      <c r="AC30" s="215"/>
      <c r="AD30" s="214">
        <v>2030</v>
      </c>
      <c r="AE30" s="214">
        <v>2035</v>
      </c>
      <c r="AF30" s="214">
        <v>2040</v>
      </c>
      <c r="AG30" s="214">
        <v>2045</v>
      </c>
      <c r="AH30" s="214">
        <v>2050</v>
      </c>
      <c r="BD30" s="178" t="s">
        <v>113</v>
      </c>
      <c r="BE30" s="179">
        <v>34.847966456398</v>
      </c>
      <c r="BF30" s="179">
        <v>64.8551648802219</v>
      </c>
      <c r="BG30" s="179">
        <v>92.5543874374404</v>
      </c>
      <c r="BH30" s="179">
        <v>71.5045818308993</v>
      </c>
      <c r="BI30" s="179">
        <v>98.5416457762906</v>
      </c>
      <c r="BK30" s="178" t="s">
        <v>98</v>
      </c>
      <c r="BM30" s="241">
        <f>BE3+BE30</f>
        <v>336.119338058276</v>
      </c>
      <c r="BN30" s="241">
        <f t="shared" ref="BN30:BS37" si="14">BF3+BF30</f>
        <v>625.547981873655</v>
      </c>
      <c r="BO30" s="241">
        <f t="shared" si="14"/>
        <v>892.71548969106</v>
      </c>
      <c r="BP30" s="241">
        <f t="shared" si="14"/>
        <v>689.6836503561</v>
      </c>
      <c r="BQ30" s="241">
        <f t="shared" si="14"/>
        <v>950.464435017804</v>
      </c>
      <c r="BR30" s="179" t="s">
        <v>98</v>
      </c>
      <c r="BS30" s="179" t="s">
        <v>98</v>
      </c>
      <c r="BZ30" s="173" t="s">
        <v>8</v>
      </c>
      <c r="CA30" s="378">
        <v>-0.324480000000023</v>
      </c>
      <c r="CB30" s="241">
        <v>0.507449999999977</v>
      </c>
      <c r="CC30" s="382">
        <v>1.05755000000002</v>
      </c>
      <c r="CD30" s="241">
        <v>-0.444560052745146</v>
      </c>
      <c r="CE30" s="382">
        <v>-0.529034336052462</v>
      </c>
      <c r="CP30" t="s">
        <v>39</v>
      </c>
      <c r="CQ30" s="371">
        <f t="shared" ref="CQ30:CQ37" si="15">CA3+CA44</f>
        <v>325.92153</v>
      </c>
      <c r="CR30" s="371">
        <f t="shared" ref="CR30:CR37" si="16">CB3+CB44</f>
        <v>500.59224</v>
      </c>
      <c r="CS30" s="371">
        <f t="shared" ref="CS30:CS37" si="17">CC3+CC44</f>
        <v>613.4389</v>
      </c>
      <c r="CT30" s="371">
        <f t="shared" ref="CT30:CT37" si="18">CD3+CD44</f>
        <v>654.650169238172</v>
      </c>
      <c r="CU30" s="371">
        <f t="shared" ref="CU30:CU37" si="19">CE3+CE44</f>
        <v>846.867398841977</v>
      </c>
    </row>
    <row r="31" spans="4:99">
      <c r="D31" s="182"/>
      <c r="E31" s="468" t="s">
        <v>71</v>
      </c>
      <c r="F31" s="183"/>
      <c r="G31" s="184"/>
      <c r="H31" s="183">
        <f>'Attached-IRENA2024 report'!J53</f>
        <v>830</v>
      </c>
      <c r="I31" s="183"/>
      <c r="J31" s="183"/>
      <c r="K31" s="183"/>
      <c r="L31" s="184"/>
      <c r="M31" s="184"/>
      <c r="N31" s="184"/>
      <c r="O31" s="183"/>
      <c r="P31" s="203"/>
      <c r="V31" s="216">
        <v>688.24</v>
      </c>
      <c r="W31" s="216"/>
      <c r="X31" s="216">
        <v>3263.4</v>
      </c>
      <c r="Y31" s="216">
        <v>5343.62</v>
      </c>
      <c r="Z31" s="216">
        <v>7290.94</v>
      </c>
      <c r="AA31" s="216">
        <v>8887.57</v>
      </c>
      <c r="AB31" s="216">
        <v>9432.63</v>
      </c>
      <c r="AC31" s="231"/>
      <c r="AD31" s="216">
        <v>3315.59</v>
      </c>
      <c r="AE31" s="216">
        <v>5433.22</v>
      </c>
      <c r="AF31" s="216">
        <v>7415.35</v>
      </c>
      <c r="AG31" s="216">
        <v>9040.46</v>
      </c>
      <c r="AH31" s="216">
        <v>9597.53</v>
      </c>
      <c r="BD31" s="178" t="s">
        <v>114</v>
      </c>
      <c r="BE31" s="179">
        <v>-8.15909737928116</v>
      </c>
      <c r="BF31" s="179">
        <v>-14.5117609397181</v>
      </c>
      <c r="BG31" s="179">
        <v>-24.298783336926</v>
      </c>
      <c r="BH31" s="179">
        <v>-19.443685743051</v>
      </c>
      <c r="BI31" s="179">
        <v>-40.8605416610706</v>
      </c>
      <c r="BK31" s="178" t="s">
        <v>98</v>
      </c>
      <c r="BM31" s="241">
        <f t="shared" ref="BM31:BM37" si="20">BE4+BE31</f>
        <v>44.0784973792809</v>
      </c>
      <c r="BN31" s="241">
        <f t="shared" si="14"/>
        <v>78.3979632568735</v>
      </c>
      <c r="BO31" s="241">
        <f t="shared" si="14"/>
        <v>131.271120792873</v>
      </c>
      <c r="BP31" s="241">
        <f t="shared" si="14"/>
        <v>105.042066692933</v>
      </c>
      <c r="BQ31" s="241">
        <f t="shared" si="14"/>
        <v>220.743937080233</v>
      </c>
      <c r="BR31" s="179" t="s">
        <v>98</v>
      </c>
      <c r="BS31" s="179" t="s">
        <v>98</v>
      </c>
      <c r="BZ31" s="183" t="s">
        <v>85</v>
      </c>
      <c r="CA31" s="378">
        <v>0.322561855967031</v>
      </c>
      <c r="CB31" s="241">
        <v>0.612236125066957</v>
      </c>
      <c r="CC31" s="382">
        <v>1.80758798311717</v>
      </c>
      <c r="CD31" s="241">
        <v>0.981063674729967</v>
      </c>
      <c r="CE31" s="382">
        <v>3.48441048337918</v>
      </c>
      <c r="CP31" t="s">
        <v>115</v>
      </c>
      <c r="CQ31" s="371">
        <f t="shared" si="15"/>
        <v>26.17388</v>
      </c>
      <c r="CR31" s="371">
        <f t="shared" si="16"/>
        <v>35.16323</v>
      </c>
      <c r="CS31" s="371">
        <f t="shared" si="17"/>
        <v>42.41976</v>
      </c>
      <c r="CT31" s="371">
        <f t="shared" si="18"/>
        <v>58.3602723953545</v>
      </c>
      <c r="CU31" s="371">
        <f t="shared" si="19"/>
        <v>87.4837450026676</v>
      </c>
    </row>
    <row r="32" spans="4:99">
      <c r="D32" s="182"/>
      <c r="E32" s="182" t="s">
        <v>14</v>
      </c>
      <c r="F32" s="185">
        <f>Attached_WEO2023!B18</f>
        <v>730</v>
      </c>
      <c r="G32" s="186">
        <f>Attached_WEO2023!F18</f>
        <v>560</v>
      </c>
      <c r="H32" s="188">
        <f>'Attached-IRENA2024 report'!J48</f>
        <v>726.985591214851</v>
      </c>
      <c r="I32" s="204">
        <f>'Attached-IEA2020Projected Costs'!K60</f>
        <v>1215.20326226019</v>
      </c>
      <c r="J32" s="204">
        <f>'Attached-IEA2020Projected Costs'!L60</f>
        <v>1238.57469620056</v>
      </c>
      <c r="K32" s="204">
        <f>'Attached-IEA2020Projected Costs'!M60</f>
        <v>1255.81786504401</v>
      </c>
      <c r="L32" s="184"/>
      <c r="M32" s="184"/>
      <c r="N32" s="184"/>
      <c r="O32" s="183">
        <f>'Attached-DIB_GNESTE_Solar_Power'!V134</f>
        <v>1382.1652</v>
      </c>
      <c r="P32" s="203"/>
      <c r="BD32" s="178" t="s">
        <v>116</v>
      </c>
      <c r="BE32" s="179">
        <v>60.1619653761389</v>
      </c>
      <c r="BF32" s="179">
        <v>133.16695741209</v>
      </c>
      <c r="BG32" s="179">
        <v>298.190754523024</v>
      </c>
      <c r="BH32" s="179">
        <v>156.133222389098</v>
      </c>
      <c r="BI32" s="179">
        <v>331.995347050395</v>
      </c>
      <c r="BK32" s="178" t="s">
        <v>98</v>
      </c>
      <c r="BM32" s="241">
        <f t="shared" si="20"/>
        <v>361.808525922181</v>
      </c>
      <c r="BN32" s="241">
        <f t="shared" si="14"/>
        <v>800.853832842343</v>
      </c>
      <c r="BO32" s="241">
        <f t="shared" si="14"/>
        <v>1793.29176936075</v>
      </c>
      <c r="BP32" s="241">
        <f t="shared" si="14"/>
        <v>938.970837918889</v>
      </c>
      <c r="BQ32" s="241">
        <f t="shared" si="14"/>
        <v>1996.58947938834</v>
      </c>
      <c r="BR32" s="179" t="s">
        <v>98</v>
      </c>
      <c r="BS32" s="179" t="s">
        <v>98</v>
      </c>
      <c r="CP32" t="s">
        <v>37</v>
      </c>
      <c r="CQ32" s="371">
        <f t="shared" si="15"/>
        <v>471.73525</v>
      </c>
      <c r="CR32" s="371">
        <f t="shared" si="16"/>
        <v>968.43303</v>
      </c>
      <c r="CS32" s="371">
        <f t="shared" si="17"/>
        <v>2275.67882</v>
      </c>
      <c r="CT32" s="371">
        <f t="shared" si="18"/>
        <v>1256.05155111236</v>
      </c>
      <c r="CU32" s="371">
        <f t="shared" si="19"/>
        <v>2561.35472988747</v>
      </c>
    </row>
    <row r="33" spans="4:99">
      <c r="D33" s="182"/>
      <c r="E33" s="182" t="s">
        <v>69</v>
      </c>
      <c r="F33" s="183"/>
      <c r="G33" s="184"/>
      <c r="H33" s="183"/>
      <c r="I33" s="183"/>
      <c r="J33" s="183"/>
      <c r="K33" s="183"/>
      <c r="L33" s="184"/>
      <c r="M33" s="184"/>
      <c r="N33" s="184"/>
      <c r="O33" s="183">
        <f>'Attached-DIB_GNESTE_Solar_Power'!AA338</f>
        <v>819.859340854</v>
      </c>
      <c r="P33" s="203"/>
      <c r="BD33" s="178" t="s">
        <v>76</v>
      </c>
      <c r="BE33" s="179">
        <v>1.35557905162487</v>
      </c>
      <c r="BF33" s="179">
        <v>3.26845464607382</v>
      </c>
      <c r="BG33" s="179">
        <v>5.12497792297548</v>
      </c>
      <c r="BH33" s="179">
        <v>3.82122465212583</v>
      </c>
      <c r="BI33" s="179">
        <v>9.2795003959249</v>
      </c>
      <c r="BK33" s="178" t="s">
        <v>98</v>
      </c>
      <c r="BM33" s="241">
        <f t="shared" si="20"/>
        <v>9.03142094837514</v>
      </c>
      <c r="BN33" s="241">
        <f t="shared" si="14"/>
        <v>21.7757789366714</v>
      </c>
      <c r="BO33" s="241">
        <f t="shared" si="14"/>
        <v>34.1446947841517</v>
      </c>
      <c r="BP33" s="241">
        <f t="shared" si="14"/>
        <v>25.4585583410205</v>
      </c>
      <c r="BQ33" s="241">
        <f t="shared" si="14"/>
        <v>61.8238192496093</v>
      </c>
      <c r="BR33" s="179" t="s">
        <v>98</v>
      </c>
      <c r="BS33" s="179" t="s">
        <v>98</v>
      </c>
      <c r="CP33" t="s">
        <v>117</v>
      </c>
      <c r="CQ33" s="371">
        <f t="shared" si="15"/>
        <v>4.3878</v>
      </c>
      <c r="CR33" s="371">
        <f t="shared" si="16"/>
        <v>5.5269</v>
      </c>
      <c r="CS33" s="371">
        <f t="shared" si="17"/>
        <v>7.88858</v>
      </c>
      <c r="CT33" s="371">
        <f t="shared" si="18"/>
        <v>8.33806101994681</v>
      </c>
      <c r="CU33" s="371">
        <f t="shared" si="19"/>
        <v>19.9458864111221</v>
      </c>
    </row>
    <row r="34" spans="4:99">
      <c r="D34" s="182" t="s">
        <v>72</v>
      </c>
      <c r="E34" s="193" t="s">
        <v>7</v>
      </c>
      <c r="F34" s="185">
        <f>Attached_WEO2023!B13</f>
        <v>1110</v>
      </c>
      <c r="G34" s="186">
        <f>Attached_WEO2023!F13</f>
        <v>3460</v>
      </c>
      <c r="H34" s="188">
        <f>'Attached-IRENA2024 report'!J42</f>
        <v>1108.53043557463</v>
      </c>
      <c r="I34" s="183">
        <f>AVERAGE('Attached-IEA2020Projected Costs'!K51:K55)</f>
        <v>1087.63698238114</v>
      </c>
      <c r="J34" s="183">
        <f>AVERAGE('Attached-IEA2020Projected Costs'!L51:L55)</f>
        <v>1108.55499393877</v>
      </c>
      <c r="K34" s="183">
        <f>AVERAGE('Attached-IEA2020Projected Costs'!M51:M55)</f>
        <v>1123.98805662878</v>
      </c>
      <c r="L34" s="184">
        <f>AVERAGE('Attached-IEA2020Projected Costs'!K41:K50)</f>
        <v>1789.23173252988</v>
      </c>
      <c r="M34" s="184">
        <f>AVERAGE('Attached-IEA2020Projected Costs'!L41:L50)</f>
        <v>1823.64318659647</v>
      </c>
      <c r="N34" s="184">
        <f>AVERAGE('Attached-IEA2020Projected Costs'!M41:M50)</f>
        <v>1849.031552331</v>
      </c>
      <c r="O34" s="183">
        <f>AVERAGE('Attached-DIB_GNESTE_Solar_Power'!V15,'Attached-DIB_GNESTE_Solar_Power'!Z17:Z310,'Attached-DIB_GNESTE_Solar_Power'!AB313:AB315,'Attached-DIB_GNESTE_Solar_Power'!Z319,'Attached-DIB_GNESTE_Solar_Power'!X325,'Attached-DIB_GNESTE_Solar_Power'!Y326,'Attached-DIB_GNESTE_Solar_Power'!X331,'Attached-DIB_GNESTE_Solar_Power'!Y332)</f>
        <v>1349.03034357143</v>
      </c>
      <c r="P34" s="203"/>
      <c r="BD34" s="178" t="s">
        <v>118</v>
      </c>
      <c r="BE34" s="179">
        <v>127.807574162921</v>
      </c>
      <c r="BF34" s="179">
        <v>330.583949029373</v>
      </c>
      <c r="BG34" s="179">
        <v>686.02410854688</v>
      </c>
      <c r="BH34" s="179">
        <v>342.531970315328</v>
      </c>
      <c r="BI34" s="179">
        <v>744.462978693711</v>
      </c>
      <c r="BK34" s="178" t="s">
        <v>98</v>
      </c>
      <c r="BM34" s="241">
        <f t="shared" si="20"/>
        <v>1486.80640532784</v>
      </c>
      <c r="BN34" s="241">
        <f t="shared" si="14"/>
        <v>3845.73712578913</v>
      </c>
      <c r="BO34" s="241">
        <f t="shared" si="14"/>
        <v>7980.63061189587</v>
      </c>
      <c r="BP34" s="241">
        <f t="shared" si="14"/>
        <v>3984.73041077517</v>
      </c>
      <c r="BQ34" s="241">
        <f t="shared" si="14"/>
        <v>8660.45954240751</v>
      </c>
      <c r="BR34" s="179" t="s">
        <v>98</v>
      </c>
      <c r="BS34" s="179" t="s">
        <v>98</v>
      </c>
      <c r="BZ34" s="173" t="s">
        <v>105</v>
      </c>
      <c r="CA34" s="379">
        <v>17.61738</v>
      </c>
      <c r="CB34" s="241">
        <v>28.4574399999999</v>
      </c>
      <c r="CC34" s="382">
        <v>36.6554000000001</v>
      </c>
      <c r="CD34" s="241">
        <v>35.386495634496</v>
      </c>
      <c r="CE34" s="382">
        <v>45.7766161536204</v>
      </c>
      <c r="CP34" t="s">
        <v>67</v>
      </c>
      <c r="CQ34" s="371">
        <f t="shared" si="15"/>
        <v>534.07424</v>
      </c>
      <c r="CR34" s="371">
        <f t="shared" si="16"/>
        <v>1517.481</v>
      </c>
      <c r="CS34" s="371">
        <f t="shared" si="17"/>
        <v>3093.90264</v>
      </c>
      <c r="CT34" s="371">
        <f t="shared" si="18"/>
        <v>1550.9696779409</v>
      </c>
      <c r="CU34" s="371">
        <f t="shared" si="19"/>
        <v>3188.6025432414</v>
      </c>
    </row>
    <row r="35" spans="4:99">
      <c r="D35" s="182"/>
      <c r="E35" s="182" t="s">
        <v>73</v>
      </c>
      <c r="F35" s="183"/>
      <c r="G35" s="184"/>
      <c r="H35" s="188">
        <f>'Attached-IRENA2024 report'!J38</f>
        <v>1336.5220886681</v>
      </c>
      <c r="I35" s="183">
        <f>AVERAGE('Attached-IEA2020Projected Costs'!K13:K14)</f>
        <v>1328.76929204818</v>
      </c>
      <c r="J35" s="183">
        <f>AVERAGE('Attached-IEA2020Projected Costs'!L13:L14)</f>
        <v>1354.32488813285</v>
      </c>
      <c r="K35" s="183">
        <f>AVERAGE('Attached-IEA2020Projected Costs'!M13:M14)</f>
        <v>1373.17950609542</v>
      </c>
      <c r="L35" s="184"/>
      <c r="M35" s="184"/>
      <c r="N35" s="184"/>
      <c r="O35" s="183"/>
      <c r="P35" s="203"/>
      <c r="BD35" s="178" t="s">
        <v>119</v>
      </c>
      <c r="BE35" s="179">
        <v>1.662</v>
      </c>
      <c r="BF35" s="179">
        <v>6.63950338085495</v>
      </c>
      <c r="BG35" s="179">
        <v>18.5064599999999</v>
      </c>
      <c r="BH35" s="179">
        <v>7.68766200987103</v>
      </c>
      <c r="BI35" s="179">
        <v>30.8389709809355</v>
      </c>
      <c r="BK35" s="178" t="s">
        <v>98</v>
      </c>
      <c r="BM35" s="241">
        <f t="shared" si="20"/>
        <v>12.465</v>
      </c>
      <c r="BN35" s="241">
        <f t="shared" si="14"/>
        <v>49.7962753564121</v>
      </c>
      <c r="BO35" s="241">
        <f t="shared" si="14"/>
        <v>153.33924</v>
      </c>
      <c r="BP35" s="241">
        <f t="shared" si="14"/>
        <v>57.6574650740322</v>
      </c>
      <c r="BQ35" s="241">
        <f t="shared" si="14"/>
        <v>231.292282357025</v>
      </c>
      <c r="BR35" s="179" t="s">
        <v>98</v>
      </c>
      <c r="BS35" s="179" t="s">
        <v>98</v>
      </c>
      <c r="BZ35" s="173"/>
      <c r="CA35" s="379">
        <v>-1.41032000000001</v>
      </c>
      <c r="CB35" s="241">
        <v>-2.01982</v>
      </c>
      <c r="CC35" s="382">
        <v>-2.11344</v>
      </c>
      <c r="CD35" s="241">
        <v>-3.14461055696053</v>
      </c>
      <c r="CE35" s="382">
        <v>-4.7138626467364</v>
      </c>
      <c r="CP35" t="s">
        <v>120</v>
      </c>
      <c r="CQ35" s="371">
        <f t="shared" si="15"/>
        <v>64.63314</v>
      </c>
      <c r="CR35" s="371">
        <f t="shared" si="16"/>
        <v>155.69664</v>
      </c>
      <c r="CS35" s="371">
        <f t="shared" si="17"/>
        <v>405.8644</v>
      </c>
      <c r="CT35" s="371">
        <f t="shared" si="18"/>
        <v>167.302800705428</v>
      </c>
      <c r="CU35" s="371">
        <f t="shared" si="19"/>
        <v>490.487827280079</v>
      </c>
    </row>
    <row r="36" spans="4:99">
      <c r="D36" s="182"/>
      <c r="E36" s="182" t="s">
        <v>74</v>
      </c>
      <c r="F36" s="183"/>
      <c r="G36" s="184"/>
      <c r="H36" s="188">
        <f>'Attached-IRENA2024 report'!J40</f>
        <v>1049.51721777189</v>
      </c>
      <c r="I36" s="183"/>
      <c r="J36" s="183"/>
      <c r="K36" s="183"/>
      <c r="L36" s="184"/>
      <c r="M36" s="184"/>
      <c r="N36" s="184"/>
      <c r="O36" s="183">
        <f>'Attached-DIB_GNESTE_Solar_Power'!V137</f>
        <v>990.405</v>
      </c>
      <c r="P36" s="203"/>
      <c r="V36" s="217" t="s">
        <v>75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BD36" s="178" t="s">
        <v>121</v>
      </c>
      <c r="BE36" s="179">
        <v>2.8116</v>
      </c>
      <c r="BF36" s="179">
        <v>8.12040790550802</v>
      </c>
      <c r="BG36" s="179">
        <v>18.9314099999999</v>
      </c>
      <c r="BH36" s="179">
        <v>13.6517786221096</v>
      </c>
      <c r="BI36" s="179">
        <v>42.8166865592381</v>
      </c>
      <c r="BK36" s="178" t="s">
        <v>98</v>
      </c>
      <c r="BM36" s="241">
        <f t="shared" si="20"/>
        <v>30.7572</v>
      </c>
      <c r="BN36" s="241">
        <f t="shared" si="14"/>
        <v>88.8323410269199</v>
      </c>
      <c r="BO36" s="241">
        <f t="shared" si="14"/>
        <v>236.80869</v>
      </c>
      <c r="BP36" s="241">
        <f t="shared" si="14"/>
        <v>149.342184320653</v>
      </c>
      <c r="BQ36" s="241">
        <f t="shared" si="14"/>
        <v>468.388601451055</v>
      </c>
      <c r="BR36" s="179" t="s">
        <v>98</v>
      </c>
      <c r="BS36" s="179" t="s">
        <v>98</v>
      </c>
      <c r="BZ36" s="173"/>
      <c r="CA36" s="379">
        <v>80.4615</v>
      </c>
      <c r="CB36" s="241">
        <v>165.63078</v>
      </c>
      <c r="CC36" s="382">
        <v>390.33292</v>
      </c>
      <c r="CD36" s="241">
        <v>214.238371798224</v>
      </c>
      <c r="CE36" s="382">
        <v>436.877345076163</v>
      </c>
      <c r="CP36" t="s">
        <v>122</v>
      </c>
      <c r="CQ36" s="371">
        <f t="shared" si="15"/>
        <v>204.31424</v>
      </c>
      <c r="CR36" s="371">
        <f t="shared" si="16"/>
        <v>214.98965</v>
      </c>
      <c r="CS36" s="371">
        <f t="shared" si="17"/>
        <v>206.22225</v>
      </c>
      <c r="CT36" s="371">
        <f t="shared" si="18"/>
        <v>279.924646544691</v>
      </c>
      <c r="CU36" s="371">
        <f t="shared" si="19"/>
        <v>333.1152869348</v>
      </c>
    </row>
    <row r="37" spans="4:99">
      <c r="D37" s="182"/>
      <c r="E37" s="182" t="s">
        <v>72</v>
      </c>
      <c r="F37" s="183"/>
      <c r="G37" s="184"/>
      <c r="H37" s="183"/>
      <c r="I37" s="183"/>
      <c r="J37" s="183"/>
      <c r="K37" s="183"/>
      <c r="L37" s="184"/>
      <c r="M37" s="184"/>
      <c r="N37" s="184"/>
      <c r="O37" s="183">
        <f>'Attached-DIB_GNESTE_Solar_Power'!AA337</f>
        <v>936.56791089</v>
      </c>
      <c r="P37" s="203"/>
      <c r="V37" s="218"/>
      <c r="W37" s="219"/>
      <c r="X37" s="218" t="s">
        <v>40</v>
      </c>
      <c r="Y37" s="218"/>
      <c r="Z37" s="218"/>
      <c r="AA37" s="218"/>
      <c r="AB37" s="218"/>
      <c r="AC37" s="219"/>
      <c r="AD37" s="218" t="s">
        <v>41</v>
      </c>
      <c r="AE37" s="218"/>
      <c r="AF37" s="218"/>
      <c r="AG37" s="218"/>
      <c r="AH37" s="218"/>
      <c r="BD37" s="178" t="s">
        <v>87</v>
      </c>
      <c r="BE37" s="179">
        <v>345.813109482878</v>
      </c>
      <c r="BF37" s="179">
        <v>828.375539159578</v>
      </c>
      <c r="BG37" s="179">
        <v>1671.7872301179</v>
      </c>
      <c r="BH37" s="179">
        <v>895.014416168782</v>
      </c>
      <c r="BI37" s="179">
        <v>1912.82781041402</v>
      </c>
      <c r="BJ37" s="178">
        <v>909.303081381089</v>
      </c>
      <c r="BK37" s="178">
        <v>2012.47139529829</v>
      </c>
      <c r="BM37" s="241">
        <f t="shared" si="20"/>
        <v>2155.74086582089</v>
      </c>
      <c r="BN37" s="241">
        <f t="shared" si="14"/>
        <v>5163.95403483431</v>
      </c>
      <c r="BO37" s="241">
        <f t="shared" si="14"/>
        <v>10421.6409155567</v>
      </c>
      <c r="BP37" s="241">
        <f t="shared" si="14"/>
        <v>5579.36960608315</v>
      </c>
      <c r="BQ37" s="241">
        <f t="shared" si="14"/>
        <v>11924.2474247274</v>
      </c>
      <c r="BR37" s="241">
        <f t="shared" si="14"/>
        <v>5668.44274608718</v>
      </c>
      <c r="BS37" s="241">
        <f t="shared" si="14"/>
        <v>12545.4088036964</v>
      </c>
      <c r="BZ37" s="173"/>
      <c r="CA37" s="379">
        <v>0.213000000000001</v>
      </c>
      <c r="CB37" s="241">
        <v>0.2898</v>
      </c>
      <c r="CC37" s="382">
        <v>0.40368</v>
      </c>
      <c r="CD37" s="241">
        <v>0.40476024368672</v>
      </c>
      <c r="CE37" s="382">
        <v>0.968246913161082</v>
      </c>
      <c r="CP37" t="s">
        <v>75</v>
      </c>
      <c r="CQ37" s="371">
        <f t="shared" si="15"/>
        <v>50.6153226164052</v>
      </c>
      <c r="CR37" s="371">
        <f t="shared" si="16"/>
        <v>96.0700356053792</v>
      </c>
      <c r="CS37" s="371">
        <f t="shared" si="17"/>
        <v>283.640632736024</v>
      </c>
      <c r="CT37" s="371">
        <f t="shared" si="18"/>
        <v>153.94521542172</v>
      </c>
      <c r="CU37" s="371">
        <f t="shared" si="19"/>
        <v>546.761985280361</v>
      </c>
    </row>
    <row r="38" spans="4:83">
      <c r="D38" s="182" t="s">
        <v>76</v>
      </c>
      <c r="E38" s="182" t="s">
        <v>9</v>
      </c>
      <c r="F38" s="185">
        <f>Attached_WEO2023!B15</f>
        <v>1250</v>
      </c>
      <c r="G38" s="186">
        <f>Attached_WEO2023!F15</f>
        <v>1610</v>
      </c>
      <c r="H38" s="183">
        <f>'Attached-IRENA2024 report'!J83</f>
        <v>1248</v>
      </c>
      <c r="I38" s="183"/>
      <c r="J38" s="183"/>
      <c r="K38" s="183"/>
      <c r="L38" s="184"/>
      <c r="M38" s="184"/>
      <c r="N38" s="184"/>
      <c r="O38" s="183">
        <f>'Attached-DIB_GNESTE_Solar_Power'!AA341</f>
        <v>787.789251862</v>
      </c>
      <c r="P38" s="203"/>
      <c r="V38" s="220">
        <v>2023</v>
      </c>
      <c r="W38" s="221"/>
      <c r="X38" s="220">
        <v>2030</v>
      </c>
      <c r="Y38" s="220">
        <v>2035</v>
      </c>
      <c r="Z38" s="220">
        <v>2040</v>
      </c>
      <c r="AA38" s="220">
        <v>2045</v>
      </c>
      <c r="AB38" s="220">
        <v>2050</v>
      </c>
      <c r="AC38" s="221"/>
      <c r="AD38" s="220">
        <v>2030</v>
      </c>
      <c r="AE38" s="220">
        <v>2035</v>
      </c>
      <c r="AF38" s="220">
        <v>2040</v>
      </c>
      <c r="AG38" s="220">
        <v>2045</v>
      </c>
      <c r="AH38" s="220">
        <v>2050</v>
      </c>
      <c r="BD38" s="178" t="s">
        <v>126</v>
      </c>
      <c r="BE38" s="178"/>
      <c r="BF38" s="178"/>
      <c r="BG38" s="178"/>
      <c r="BH38" s="178"/>
      <c r="BI38" s="178"/>
      <c r="BM38" s="241"/>
      <c r="BN38" s="241"/>
      <c r="BO38" s="241"/>
      <c r="BP38" s="242"/>
      <c r="BQ38" s="241"/>
      <c r="BR38" s="241"/>
      <c r="BS38" s="241"/>
      <c r="BZ38" s="173"/>
      <c r="CA38" s="379">
        <v>11.0118400000001</v>
      </c>
      <c r="CB38" s="241">
        <v>32.634</v>
      </c>
      <c r="CC38" s="382">
        <v>75.4610400000001</v>
      </c>
      <c r="CD38" s="241">
        <v>31.9787562461975</v>
      </c>
      <c r="CE38" s="382">
        <v>65.7443823348631</v>
      </c>
    </row>
    <row r="39" spans="4:99">
      <c r="D39" s="183" t="s">
        <v>77</v>
      </c>
      <c r="E39" s="183" t="s">
        <v>8</v>
      </c>
      <c r="F39" s="185">
        <f>Attached_WEO2023!B14</f>
        <v>1880</v>
      </c>
      <c r="G39" s="186">
        <f>Attached_WEO2023!F14</f>
        <v>1850</v>
      </c>
      <c r="H39" s="188">
        <f>'Attached-IRENA2024 report'!J15</f>
        <v>1875.23992880094</v>
      </c>
      <c r="I39" s="204">
        <f>'Attached-IEA2020Projected Costs'!K34</f>
        <v>2035.9917497626</v>
      </c>
      <c r="J39" s="204">
        <f>'Attached-IEA2020Projected Costs'!L34</f>
        <v>2075.14902341426</v>
      </c>
      <c r="K39" s="204">
        <f>'Attached-IEA2020Projected Costs'!M34</f>
        <v>2104.03879897306</v>
      </c>
      <c r="L39" s="205">
        <f>'Attached-IEA2020Projected Costs'!K33</f>
        <v>2367.472691368</v>
      </c>
      <c r="M39" s="205">
        <f>'Attached-IEA2020Projected Costs'!L33</f>
        <v>2413.00518237614</v>
      </c>
      <c r="N39" s="205">
        <f>'Attached-IEA2020Projected Costs'!M33</f>
        <v>2446.59851825444</v>
      </c>
      <c r="O39" s="183"/>
      <c r="P39" s="203"/>
      <c r="V39" s="222">
        <v>32.13</v>
      </c>
      <c r="W39" s="222"/>
      <c r="X39" s="222">
        <v>82.67</v>
      </c>
      <c r="Y39" s="222">
        <v>150.99</v>
      </c>
      <c r="Z39" s="222">
        <v>236.9</v>
      </c>
      <c r="AA39" s="222">
        <v>319.85</v>
      </c>
      <c r="AB39" s="222">
        <v>408.09</v>
      </c>
      <c r="AC39" s="232"/>
      <c r="AD39" s="222">
        <v>165.71</v>
      </c>
      <c r="AE39" s="222">
        <v>368.34</v>
      </c>
      <c r="AF39" s="222">
        <v>669.78</v>
      </c>
      <c r="AG39" s="222">
        <v>898.17</v>
      </c>
      <c r="AH39" s="222">
        <v>1074.26</v>
      </c>
      <c r="BD39" s="178" t="s">
        <v>113</v>
      </c>
      <c r="BE39" s="179">
        <v>46.4639552751973</v>
      </c>
      <c r="BF39" s="179">
        <v>86.4735531736292</v>
      </c>
      <c r="BG39" s="179">
        <v>123.405849916587</v>
      </c>
      <c r="BH39" s="179">
        <v>95.339442441199</v>
      </c>
      <c r="BI39" s="179">
        <v>131.388861035054</v>
      </c>
      <c r="BK39" s="178" t="s">
        <v>98</v>
      </c>
      <c r="BM39" s="241">
        <f>BE3+BE39</f>
        <v>347.735326877075</v>
      </c>
      <c r="BN39" s="241">
        <f t="shared" ref="BN39:BS46" si="21">BF3+BF39</f>
        <v>647.166370167062</v>
      </c>
      <c r="BO39" s="241">
        <f t="shared" si="21"/>
        <v>923.566952170207</v>
      </c>
      <c r="BP39" s="241">
        <f t="shared" si="21"/>
        <v>713.5185109664</v>
      </c>
      <c r="BQ39" s="241">
        <f t="shared" si="21"/>
        <v>983.311650276567</v>
      </c>
      <c r="BR39" s="179" t="s">
        <v>98</v>
      </c>
      <c r="BS39" s="179" t="s">
        <v>98</v>
      </c>
      <c r="BZ39" s="173"/>
      <c r="CA39" s="379">
        <v>1.13723999999999</v>
      </c>
      <c r="CB39" s="241">
        <v>2.97984000000002</v>
      </c>
      <c r="CC39" s="382">
        <v>5.71640000000002</v>
      </c>
      <c r="CD39" s="241">
        <v>2.94374429393639</v>
      </c>
      <c r="CE39" s="382">
        <v>8.63028435096908</v>
      </c>
      <c r="CP39" t="s">
        <v>39</v>
      </c>
      <c r="CQ39" s="371">
        <f t="shared" ref="CQ39:CQ46" si="22">CA3+CA54</f>
        <v>334.73022</v>
      </c>
      <c r="CR39" s="371">
        <f t="shared" ref="CR39:CR46" si="23">CB3+CB54</f>
        <v>514.82096</v>
      </c>
      <c r="CS39" s="371">
        <f t="shared" ref="CS39:CS46" si="24">CC3+CC54</f>
        <v>631.7666</v>
      </c>
      <c r="CT39" s="371">
        <f t="shared" ref="CT39:CT46" si="25">CD3+CD54</f>
        <v>672.34341705542</v>
      </c>
      <c r="CU39" s="371">
        <f t="shared" ref="CU39:CU46" si="26">CE3+CE54</f>
        <v>869.755706918787</v>
      </c>
    </row>
    <row r="40" spans="4:99">
      <c r="D40" s="183"/>
      <c r="E40" s="183" t="s">
        <v>10</v>
      </c>
      <c r="F40" s="185">
        <f>Attached_WEO2023!B16</f>
        <v>670</v>
      </c>
      <c r="G40" s="186">
        <f>Attached_WEO2023!F16</f>
        <v>750</v>
      </c>
      <c r="H40" s="188">
        <f>'Attached-IRENA2024 report'!J11</f>
        <v>671.126163217668</v>
      </c>
      <c r="I40" s="204">
        <f>'Attached-IEA2020Projected Costs'!K61</f>
        <v>741.295337697466</v>
      </c>
      <c r="J40" s="204">
        <f>'Attached-IEA2020Projected Costs'!L61</f>
        <v>755.552322971745</v>
      </c>
      <c r="K40" s="204">
        <f>'Attached-IEA2020Projected Costs'!M61</f>
        <v>766.070958880442</v>
      </c>
      <c r="L40" s="184"/>
      <c r="M40" s="184"/>
      <c r="N40" s="184"/>
      <c r="O40" s="183">
        <f>'Attached-DIB_GNESTE_Solar_Power'!AA342</f>
        <v>694.646657334</v>
      </c>
      <c r="P40" s="203"/>
      <c r="BD40" s="178" t="s">
        <v>114</v>
      </c>
      <c r="BE40" s="179">
        <v>-10.8787965057082</v>
      </c>
      <c r="BF40" s="179">
        <v>-19.3490145862908</v>
      </c>
      <c r="BG40" s="179">
        <v>-32.398377782568</v>
      </c>
      <c r="BH40" s="179">
        <v>-25.924914324068</v>
      </c>
      <c r="BI40" s="179">
        <v>-54.4807222147608</v>
      </c>
      <c r="BK40" s="178" t="s">
        <v>98</v>
      </c>
      <c r="BM40" s="241">
        <f t="shared" ref="BM40:BM46" si="27">BE4+BE40</f>
        <v>41.3587982528539</v>
      </c>
      <c r="BN40" s="241">
        <f t="shared" si="21"/>
        <v>73.5607096103008</v>
      </c>
      <c r="BO40" s="241">
        <f t="shared" si="21"/>
        <v>123.171526347231</v>
      </c>
      <c r="BP40" s="241">
        <f t="shared" si="21"/>
        <v>98.560838111916</v>
      </c>
      <c r="BQ40" s="241">
        <f t="shared" si="21"/>
        <v>207.123756526543</v>
      </c>
      <c r="BR40" s="179" t="s">
        <v>98</v>
      </c>
      <c r="BS40" s="179" t="s">
        <v>98</v>
      </c>
      <c r="BZ40" s="173"/>
      <c r="CA40" s="379">
        <v>-0.648960000000045</v>
      </c>
      <c r="CB40" s="241">
        <v>1.01489999999995</v>
      </c>
      <c r="CC40" s="382">
        <v>2.11510000000004</v>
      </c>
      <c r="CD40" s="241">
        <v>-0.889120105490292</v>
      </c>
      <c r="CE40" s="382">
        <v>-1.05806867210492</v>
      </c>
      <c r="CP40" t="s">
        <v>115</v>
      </c>
      <c r="CQ40" s="371">
        <f t="shared" si="22"/>
        <v>25.46872</v>
      </c>
      <c r="CR40" s="371">
        <f t="shared" si="23"/>
        <v>34.15332</v>
      </c>
      <c r="CS40" s="371">
        <f t="shared" si="24"/>
        <v>41.36304</v>
      </c>
      <c r="CT40" s="371">
        <f t="shared" si="25"/>
        <v>56.7879671168742</v>
      </c>
      <c r="CU40" s="371">
        <f t="shared" si="26"/>
        <v>85.1268136792994</v>
      </c>
    </row>
    <row r="41" spans="4:99">
      <c r="D41" s="183"/>
      <c r="E41" s="183" t="s">
        <v>11</v>
      </c>
      <c r="F41" s="185">
        <f>Attached_WEO2023!B17</f>
        <v>710</v>
      </c>
      <c r="G41" s="186">
        <f>Attached_WEO2023!F17</f>
        <v>780</v>
      </c>
      <c r="H41" s="188">
        <f>'Attached-IRENA2024 report'!J13</f>
        <v>711.328186596699</v>
      </c>
      <c r="I41" s="204">
        <f>'Attached-IEA2020Projected Costs'!K62</f>
        <v>638.035261492125</v>
      </c>
      <c r="J41" s="204">
        <f>'Attached-IEA2020Projected Costs'!L62</f>
        <v>650.30629418986</v>
      </c>
      <c r="K41" s="204">
        <f>'Attached-IEA2020Projected Costs'!M62</f>
        <v>659.359717665302</v>
      </c>
      <c r="L41" s="184"/>
      <c r="M41" s="184"/>
      <c r="N41" s="184"/>
      <c r="O41" s="183">
        <f>AVERAGE('Attached-DIB_GNESTE_Solar_Power'!W25,'Attached-DIB_GNESTE_Solar_Power'!V135,'Attached-DIB_GNESTE_Solar_Power'!AA343)</f>
        <v>670.571785346333</v>
      </c>
      <c r="P41" s="203"/>
      <c r="BD41" s="178" t="s">
        <v>116</v>
      </c>
      <c r="BE41" s="179">
        <v>80.2159538348519</v>
      </c>
      <c r="BF41" s="179">
        <v>177.555943216119</v>
      </c>
      <c r="BG41" s="179">
        <v>397.587672697365</v>
      </c>
      <c r="BH41" s="179">
        <v>208.177629852131</v>
      </c>
      <c r="BI41" s="179">
        <v>442.66046273386</v>
      </c>
      <c r="BK41" s="178" t="s">
        <v>98</v>
      </c>
      <c r="BM41" s="241">
        <f t="shared" si="27"/>
        <v>381.862514380894</v>
      </c>
      <c r="BN41" s="241">
        <f t="shared" si="21"/>
        <v>845.242818646372</v>
      </c>
      <c r="BO41" s="241">
        <f t="shared" si="21"/>
        <v>1892.68868753509</v>
      </c>
      <c r="BP41" s="241">
        <f t="shared" si="21"/>
        <v>991.015245381922</v>
      </c>
      <c r="BQ41" s="241">
        <f t="shared" si="21"/>
        <v>2107.25459507181</v>
      </c>
      <c r="BR41" s="179" t="s">
        <v>98</v>
      </c>
      <c r="BS41" s="179" t="s">
        <v>98</v>
      </c>
      <c r="BZ41" s="173"/>
      <c r="CA41" s="379">
        <v>0.645123711934062</v>
      </c>
      <c r="CB41" s="241">
        <v>1.22447225013391</v>
      </c>
      <c r="CC41" s="382">
        <v>3.61517596623435</v>
      </c>
      <c r="CD41" s="241">
        <v>1.96212734945993</v>
      </c>
      <c r="CE41" s="382">
        <v>6.96882096675836</v>
      </c>
      <c r="CP41" t="s">
        <v>37</v>
      </c>
      <c r="CQ41" s="371">
        <f t="shared" si="22"/>
        <v>511.966</v>
      </c>
      <c r="CR41" s="371">
        <f t="shared" si="23"/>
        <v>1051.24842</v>
      </c>
      <c r="CS41" s="371">
        <f t="shared" si="24"/>
        <v>2470.84528</v>
      </c>
      <c r="CT41" s="371">
        <f t="shared" si="25"/>
        <v>1363.17073701147</v>
      </c>
      <c r="CU41" s="371">
        <f t="shared" si="26"/>
        <v>2779.79340242556</v>
      </c>
    </row>
    <row r="42" s="13" customFormat="1" spans="4:99">
      <c r="D42" s="183"/>
      <c r="E42" s="190" t="s">
        <v>78</v>
      </c>
      <c r="F42" s="183"/>
      <c r="G42" s="184"/>
      <c r="H42" s="188">
        <f>'Attached-IRENA2024 report'!J17</f>
        <v>1205.26012257957</v>
      </c>
      <c r="I42" s="204">
        <f>'Attached-IEA2020Projected Costs'!K36</f>
        <v>1244.04187033793</v>
      </c>
      <c r="J42" s="204">
        <f>'Attached-IEA2020Projected Costs'!L36</f>
        <v>1267.96794369094</v>
      </c>
      <c r="K42" s="204">
        <f>'Attached-IEA2020Projected Costs'!M36</f>
        <v>1285.62031896407</v>
      </c>
      <c r="L42" s="205">
        <f>'Attached-IEA2020Projected Costs'!K35</f>
        <v>1258.55886660528</v>
      </c>
      <c r="M42" s="205">
        <f>'Attached-IEA2020Projected Costs'!L35</f>
        <v>1282.76413853339</v>
      </c>
      <c r="N42" s="205">
        <f>'Attached-IEA2020Projected Costs'!M35</f>
        <v>1300.62250322863</v>
      </c>
      <c r="O42" s="183"/>
      <c r="P42" s="203"/>
      <c r="BD42" s="178" t="s">
        <v>76</v>
      </c>
      <c r="BE42" s="179">
        <v>1.80743873549983</v>
      </c>
      <c r="BF42" s="179">
        <v>4.35793952809843</v>
      </c>
      <c r="BG42" s="179">
        <v>6.83330389730064</v>
      </c>
      <c r="BH42" s="179">
        <v>5.09496620283444</v>
      </c>
      <c r="BI42" s="179">
        <v>12.3726671945665</v>
      </c>
      <c r="BJ42" s="178"/>
      <c r="BK42" s="178" t="s">
        <v>98</v>
      </c>
      <c r="BM42" s="241">
        <f t="shared" si="27"/>
        <v>9.4832806322501</v>
      </c>
      <c r="BN42" s="241">
        <f t="shared" si="21"/>
        <v>22.865263818696</v>
      </c>
      <c r="BO42" s="241">
        <f t="shared" si="21"/>
        <v>35.8530207584768</v>
      </c>
      <c r="BP42" s="241">
        <f t="shared" si="21"/>
        <v>26.7322998917291</v>
      </c>
      <c r="BQ42" s="241">
        <f t="shared" si="21"/>
        <v>64.9169860482509</v>
      </c>
      <c r="BR42" s="179" t="s">
        <v>98</v>
      </c>
      <c r="BS42" s="179" t="s">
        <v>98</v>
      </c>
      <c r="BZ42"/>
      <c r="CA42" s="242"/>
      <c r="CB42" s="371"/>
      <c r="CC42" s="370"/>
      <c r="CD42" s="371"/>
      <c r="CE42" s="370"/>
      <c r="CP42" t="s">
        <v>117</v>
      </c>
      <c r="CQ42" s="371">
        <f t="shared" si="22"/>
        <v>4.4943</v>
      </c>
      <c r="CR42" s="371">
        <f t="shared" si="23"/>
        <v>5.6718</v>
      </c>
      <c r="CS42" s="371">
        <f t="shared" si="24"/>
        <v>8.09042</v>
      </c>
      <c r="CT42" s="371">
        <f t="shared" si="25"/>
        <v>8.54044114179017</v>
      </c>
      <c r="CU42" s="371">
        <f t="shared" si="26"/>
        <v>20.4300098677027</v>
      </c>
    </row>
    <row r="43" spans="4:99">
      <c r="D43" s="183"/>
      <c r="E43" s="190" t="s">
        <v>79</v>
      </c>
      <c r="F43" s="183"/>
      <c r="G43" s="184"/>
      <c r="H43" s="188">
        <f>'Attached-IRENA2024 report'!J45</f>
        <v>988.628122847266</v>
      </c>
      <c r="I43" s="204">
        <f>'Attached-IEA2020Projected Costs'!K7</f>
        <v>895.147868712427</v>
      </c>
      <c r="J43" s="204">
        <f>'Attached-IEA2020Projected Costs'!L7</f>
        <v>912.363827499077</v>
      </c>
      <c r="K43" s="204">
        <f>'Attached-IEA2020Projected Costs'!M7</f>
        <v>925.065559233527</v>
      </c>
      <c r="L43" s="184"/>
      <c r="M43" s="184"/>
      <c r="N43" s="184"/>
      <c r="O43" s="183">
        <f>AVERAGE('Attached-DIB_GNESTE_Solar_Power'!AA19:AA21)</f>
        <v>932.2705</v>
      </c>
      <c r="P43" s="203"/>
      <c r="V43" s="175" t="s">
        <v>11</v>
      </c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BD43" s="178" t="s">
        <v>118</v>
      </c>
      <c r="BE43" s="179">
        <v>170.410098883895</v>
      </c>
      <c r="BF43" s="179">
        <v>440.778598705831</v>
      </c>
      <c r="BG43" s="179">
        <v>914.69881139584</v>
      </c>
      <c r="BH43" s="179">
        <v>456.709293753771</v>
      </c>
      <c r="BI43" s="179">
        <v>992.617304924948</v>
      </c>
      <c r="BK43" s="178" t="s">
        <v>98</v>
      </c>
      <c r="BM43" s="241">
        <f t="shared" si="27"/>
        <v>1529.40893004881</v>
      </c>
      <c r="BN43" s="241">
        <f t="shared" si="21"/>
        <v>3955.93177546559</v>
      </c>
      <c r="BO43" s="241">
        <f t="shared" si="21"/>
        <v>8209.30531474483</v>
      </c>
      <c r="BP43" s="241">
        <f t="shared" si="21"/>
        <v>4098.90773421361</v>
      </c>
      <c r="BQ43" s="241">
        <f t="shared" si="21"/>
        <v>8908.61386863875</v>
      </c>
      <c r="BR43" s="179" t="s">
        <v>98</v>
      </c>
      <c r="BS43" s="179" t="s">
        <v>98</v>
      </c>
      <c r="CP43" t="s">
        <v>67</v>
      </c>
      <c r="CQ43" s="371">
        <f t="shared" si="22"/>
        <v>539.58016</v>
      </c>
      <c r="CR43" s="371">
        <f t="shared" si="23"/>
        <v>1533.798</v>
      </c>
      <c r="CS43" s="371">
        <f t="shared" si="24"/>
        <v>3131.63316</v>
      </c>
      <c r="CT43" s="371">
        <f t="shared" si="25"/>
        <v>1566.95905606399</v>
      </c>
      <c r="CU43" s="371">
        <f t="shared" si="26"/>
        <v>3221.47473440884</v>
      </c>
    </row>
    <row r="44" s="172" customFormat="1" spans="4:99">
      <c r="D44" s="194"/>
      <c r="E44" s="469" t="s">
        <v>80</v>
      </c>
      <c r="F44" s="194"/>
      <c r="G44" s="194"/>
      <c r="H44" s="194">
        <f>'Attached-IRENA2024 report'!J78</f>
        <v>798</v>
      </c>
      <c r="I44" s="194"/>
      <c r="J44" s="194"/>
      <c r="K44" s="194"/>
      <c r="L44" s="194"/>
      <c r="M44" s="194"/>
      <c r="N44" s="194"/>
      <c r="O44" s="194">
        <f>AVERAGE('Attached-DIB_GNESTE_Solar_Power'!V3:V4,'Attached-DIB_GNESTE_Solar_Power'!V133)</f>
        <v>1913.40285</v>
      </c>
      <c r="P44" s="206"/>
      <c r="V44" s="212"/>
      <c r="W44" s="213"/>
      <c r="X44" s="212" t="s">
        <v>40</v>
      </c>
      <c r="Y44" s="212"/>
      <c r="Z44" s="212"/>
      <c r="AA44" s="212"/>
      <c r="AB44" s="212"/>
      <c r="AC44" s="213"/>
      <c r="AD44" s="212" t="s">
        <v>41</v>
      </c>
      <c r="AE44" s="212"/>
      <c r="AF44" s="212"/>
      <c r="AG44" s="212"/>
      <c r="AH44" s="212"/>
      <c r="AI44" s="223"/>
      <c r="AJ44" s="223"/>
      <c r="AK44" s="223"/>
      <c r="AM44" s="13"/>
      <c r="AN44" s="13"/>
      <c r="AO44" s="13"/>
      <c r="AP44" s="13"/>
      <c r="AQ44" s="13"/>
      <c r="AR44" s="13"/>
      <c r="AS44" s="13"/>
      <c r="AT44" s="13"/>
      <c r="AU44" s="13"/>
      <c r="BD44" s="178" t="s">
        <v>119</v>
      </c>
      <c r="BE44" s="179">
        <v>2.21599999999999</v>
      </c>
      <c r="BF44" s="179">
        <v>8.85267117447327</v>
      </c>
      <c r="BG44" s="179">
        <v>24.6752799999999</v>
      </c>
      <c r="BH44" s="179">
        <v>10.2502160131614</v>
      </c>
      <c r="BI44" s="179">
        <v>41.1186279745807</v>
      </c>
      <c r="BJ44" s="178"/>
      <c r="BK44" s="178" t="s">
        <v>98</v>
      </c>
      <c r="BM44" s="241">
        <f t="shared" si="27"/>
        <v>13.019</v>
      </c>
      <c r="BN44" s="241">
        <f t="shared" si="21"/>
        <v>52.0094431500305</v>
      </c>
      <c r="BO44" s="241">
        <f t="shared" si="21"/>
        <v>159.50806</v>
      </c>
      <c r="BP44" s="241">
        <f t="shared" si="21"/>
        <v>60.2200190773226</v>
      </c>
      <c r="BQ44" s="241">
        <f t="shared" si="21"/>
        <v>241.57193935067</v>
      </c>
      <c r="BR44" s="179" t="s">
        <v>98</v>
      </c>
      <c r="BS44" s="179" t="s">
        <v>98</v>
      </c>
      <c r="BZ44" s="173" t="s">
        <v>106</v>
      </c>
      <c r="CA44" s="379">
        <v>26.42607</v>
      </c>
      <c r="CB44" s="243">
        <v>42.6861599999999</v>
      </c>
      <c r="CC44" s="382">
        <v>54.9831000000001</v>
      </c>
      <c r="CD44" s="243">
        <v>53.079743451744</v>
      </c>
      <c r="CE44" s="382">
        <v>68.6649242304305</v>
      </c>
      <c r="CP44" t="s">
        <v>120</v>
      </c>
      <c r="CQ44" s="371">
        <f t="shared" si="22"/>
        <v>65.20176</v>
      </c>
      <c r="CR44" s="371">
        <f t="shared" si="23"/>
        <v>157.18656</v>
      </c>
      <c r="CS44" s="371">
        <f t="shared" si="24"/>
        <v>408.7226</v>
      </c>
      <c r="CT44" s="371">
        <f t="shared" si="25"/>
        <v>168.774672852396</v>
      </c>
      <c r="CU44" s="371">
        <f t="shared" si="26"/>
        <v>494.802969455563</v>
      </c>
    </row>
    <row r="45" s="172" customFormat="1" spans="4:99">
      <c r="D45" s="194"/>
      <c r="E45" s="194" t="s">
        <v>81</v>
      </c>
      <c r="F45" s="194"/>
      <c r="G45" s="194"/>
      <c r="H45" s="194"/>
      <c r="I45" s="194"/>
      <c r="J45" s="194"/>
      <c r="K45" s="194"/>
      <c r="L45" s="194"/>
      <c r="M45" s="194"/>
      <c r="N45" s="194"/>
      <c r="O45" s="194">
        <f>AVERAGE('Attached-DIB_GNESTE_Solar_Power'!V5:V6)</f>
        <v>2262.804</v>
      </c>
      <c r="P45" s="206"/>
      <c r="V45" s="214">
        <v>2023</v>
      </c>
      <c r="W45" s="215"/>
      <c r="X45" s="214">
        <v>2030</v>
      </c>
      <c r="Y45" s="214">
        <v>2035</v>
      </c>
      <c r="Z45" s="214">
        <v>2040</v>
      </c>
      <c r="AA45" s="214">
        <v>2045</v>
      </c>
      <c r="AB45" s="214">
        <v>2050</v>
      </c>
      <c r="AC45" s="215"/>
      <c r="AD45" s="214">
        <v>2030</v>
      </c>
      <c r="AE45" s="214">
        <v>2035</v>
      </c>
      <c r="AF45" s="214">
        <v>2040</v>
      </c>
      <c r="AG45" s="214">
        <v>2045</v>
      </c>
      <c r="AH45" s="214">
        <v>2050</v>
      </c>
      <c r="AI45" s="226"/>
      <c r="AJ45" s="226"/>
      <c r="AK45" s="226"/>
      <c r="AM45" s="13"/>
      <c r="AN45" s="13"/>
      <c r="AO45" s="13"/>
      <c r="AP45" s="13"/>
      <c r="AQ45" s="13"/>
      <c r="AR45" s="13"/>
      <c r="AS45" s="13"/>
      <c r="AT45" s="13"/>
      <c r="AU45" s="13"/>
      <c r="BD45" s="178" t="s">
        <v>121</v>
      </c>
      <c r="BE45" s="179">
        <v>3.7488</v>
      </c>
      <c r="BF45" s="179">
        <v>10.8272105406774</v>
      </c>
      <c r="BG45" s="179">
        <v>25.2418799999999</v>
      </c>
      <c r="BH45" s="179">
        <v>18.2023714961462</v>
      </c>
      <c r="BI45" s="179">
        <v>57.0889154123174</v>
      </c>
      <c r="BJ45" s="178"/>
      <c r="BK45" s="178" t="s">
        <v>98</v>
      </c>
      <c r="BM45" s="241">
        <f t="shared" si="27"/>
        <v>31.6944</v>
      </c>
      <c r="BN45" s="241">
        <f t="shared" si="21"/>
        <v>91.5391436620893</v>
      </c>
      <c r="BO45" s="241">
        <f t="shared" si="21"/>
        <v>243.11916</v>
      </c>
      <c r="BP45" s="241">
        <f t="shared" si="21"/>
        <v>153.892777194689</v>
      </c>
      <c r="BQ45" s="241">
        <f t="shared" si="21"/>
        <v>482.660830304134</v>
      </c>
      <c r="BR45" s="179" t="s">
        <v>98</v>
      </c>
      <c r="BS45" s="179" t="s">
        <v>98</v>
      </c>
      <c r="BZ45" s="173"/>
      <c r="CA45" s="379">
        <v>-2.11548000000001</v>
      </c>
      <c r="CB45" s="243">
        <v>-3.02972999999999</v>
      </c>
      <c r="CC45" s="382">
        <v>-3.17016</v>
      </c>
      <c r="CD45" s="243">
        <v>-4.71691583544079</v>
      </c>
      <c r="CE45" s="382">
        <v>-7.0707939701046</v>
      </c>
      <c r="CP45" t="s">
        <v>122</v>
      </c>
      <c r="CQ45" s="371">
        <f t="shared" si="22"/>
        <v>203.98976</v>
      </c>
      <c r="CR45" s="371">
        <f t="shared" si="23"/>
        <v>215.4971</v>
      </c>
      <c r="CS45" s="371">
        <f t="shared" si="24"/>
        <v>207.2798</v>
      </c>
      <c r="CT45" s="371">
        <f t="shared" si="25"/>
        <v>279.480086491945</v>
      </c>
      <c r="CU45" s="371">
        <f t="shared" si="26"/>
        <v>332.586252598747</v>
      </c>
    </row>
    <row r="46" s="172" customFormat="1" spans="4:99">
      <c r="D46" s="194"/>
      <c r="E46" s="194" t="s">
        <v>82</v>
      </c>
      <c r="F46" s="194"/>
      <c r="G46" s="194"/>
      <c r="H46" s="194"/>
      <c r="I46" s="194"/>
      <c r="J46" s="194"/>
      <c r="K46" s="194"/>
      <c r="L46" s="194"/>
      <c r="M46" s="194"/>
      <c r="N46" s="194"/>
      <c r="O46" s="194">
        <f>AVERAGE('Attached-DIB_GNESTE_Solar_Power'!V7:V8)</f>
        <v>2229.198</v>
      </c>
      <c r="P46" s="206"/>
      <c r="V46" s="216">
        <v>94.77</v>
      </c>
      <c r="W46" s="216"/>
      <c r="X46" s="216">
        <v>372.48</v>
      </c>
      <c r="Y46" s="216">
        <v>645.98</v>
      </c>
      <c r="Z46" s="216">
        <v>934.4</v>
      </c>
      <c r="AA46" s="216">
        <v>1201.1</v>
      </c>
      <c r="AB46" s="216">
        <v>1429.1</v>
      </c>
      <c r="AC46" s="231"/>
      <c r="AD46" s="216">
        <v>385.32</v>
      </c>
      <c r="AE46" s="216">
        <v>767.79</v>
      </c>
      <c r="AF46" s="216">
        <v>1243.49</v>
      </c>
      <c r="AG46" s="216">
        <v>1584.94</v>
      </c>
      <c r="AH46" s="216">
        <v>1882.45</v>
      </c>
      <c r="AI46" s="227"/>
      <c r="AJ46" s="227"/>
      <c r="AK46" s="227"/>
      <c r="AM46" s="13"/>
      <c r="AN46" s="13"/>
      <c r="AO46" s="13"/>
      <c r="AP46" s="13"/>
      <c r="AQ46" s="13"/>
      <c r="AR46" s="13"/>
      <c r="AS46" s="13"/>
      <c r="AT46" s="13"/>
      <c r="AU46" s="13"/>
      <c r="BD46" s="178" t="s">
        <v>87</v>
      </c>
      <c r="BE46" s="179">
        <v>461.08414597717</v>
      </c>
      <c r="BF46" s="179">
        <v>1104.50071887944</v>
      </c>
      <c r="BG46" s="179">
        <v>2229.0496401572</v>
      </c>
      <c r="BH46" s="179">
        <v>1193.35255489171</v>
      </c>
      <c r="BI46" s="179">
        <v>2550.43708055203</v>
      </c>
      <c r="BJ46" s="178">
        <v>1212.40410850812</v>
      </c>
      <c r="BK46" s="178">
        <v>2683.29519373105</v>
      </c>
      <c r="BM46" s="241">
        <f t="shared" si="27"/>
        <v>2271.01190231518</v>
      </c>
      <c r="BN46" s="241">
        <f t="shared" si="21"/>
        <v>5440.07921455417</v>
      </c>
      <c r="BO46" s="241">
        <f t="shared" si="21"/>
        <v>10978.903325596</v>
      </c>
      <c r="BP46" s="241">
        <f t="shared" si="21"/>
        <v>5877.70774480608</v>
      </c>
      <c r="BQ46" s="241">
        <f t="shared" si="21"/>
        <v>12561.8566948654</v>
      </c>
      <c r="BR46" s="241">
        <f t="shared" si="21"/>
        <v>5971.54377321421</v>
      </c>
      <c r="BS46" s="241">
        <f t="shared" si="21"/>
        <v>13216.2326021292</v>
      </c>
      <c r="BZ46" s="173"/>
      <c r="CA46" s="379">
        <v>120.69225</v>
      </c>
      <c r="CB46" s="243">
        <v>248.44617</v>
      </c>
      <c r="CC46" s="382">
        <v>585.49938</v>
      </c>
      <c r="CD46" s="243">
        <v>321.357557697335</v>
      </c>
      <c r="CE46" s="382">
        <v>655.316017614244</v>
      </c>
      <c r="CP46" t="s">
        <v>75</v>
      </c>
      <c r="CQ46" s="371">
        <f t="shared" si="22"/>
        <v>50.9378844723722</v>
      </c>
      <c r="CR46" s="371">
        <f t="shared" si="23"/>
        <v>96.6822717304461</v>
      </c>
      <c r="CS46" s="371">
        <f t="shared" si="24"/>
        <v>285.448220719141</v>
      </c>
      <c r="CT46" s="371">
        <f t="shared" si="25"/>
        <v>154.92627909645</v>
      </c>
      <c r="CU46" s="371">
        <f t="shared" si="26"/>
        <v>550.24639576374</v>
      </c>
    </row>
    <row r="47" s="172" customFormat="1" spans="4:99">
      <c r="D47" s="194"/>
      <c r="E47" s="194" t="s">
        <v>83</v>
      </c>
      <c r="F47" s="194"/>
      <c r="G47" s="194"/>
      <c r="H47" s="194"/>
      <c r="I47" s="194"/>
      <c r="J47" s="194"/>
      <c r="K47" s="194"/>
      <c r="L47" s="194"/>
      <c r="M47" s="194"/>
      <c r="N47" s="194"/>
      <c r="O47" s="194">
        <f>AVERAGE('Attached-DIB_GNESTE_Solar_Power'!V136)</f>
        <v>1108.15315</v>
      </c>
      <c r="P47" s="206"/>
      <c r="AM47" s="13"/>
      <c r="AN47" s="13"/>
      <c r="AO47" s="13"/>
      <c r="AP47" s="13"/>
      <c r="AQ47" s="13"/>
      <c r="AR47" s="13"/>
      <c r="AS47" s="13"/>
      <c r="AT47" s="13"/>
      <c r="AU47" s="13"/>
      <c r="BD47" s="178" t="s">
        <v>127</v>
      </c>
      <c r="BE47" s="178"/>
      <c r="BF47" s="178"/>
      <c r="BG47" s="178"/>
      <c r="BH47" s="178"/>
      <c r="BI47" s="178"/>
      <c r="BJ47" s="178"/>
      <c r="BK47" s="178"/>
      <c r="BM47" s="243"/>
      <c r="BN47" s="243"/>
      <c r="BO47" s="243"/>
      <c r="BP47" s="242"/>
      <c r="BQ47" s="243"/>
      <c r="BR47" s="243"/>
      <c r="BS47" s="243"/>
      <c r="BZ47" s="173"/>
      <c r="CA47" s="379">
        <v>0.319500000000001</v>
      </c>
      <c r="CB47" s="243">
        <v>0.434699999999999</v>
      </c>
      <c r="CC47" s="382">
        <v>0.605519999999999</v>
      </c>
      <c r="CD47" s="243">
        <v>0.60714036553008</v>
      </c>
      <c r="CE47" s="382">
        <v>1.45237036974162</v>
      </c>
      <c r="CQ47" s="371"/>
      <c r="CR47" s="371"/>
      <c r="CS47" s="371"/>
      <c r="CT47" s="371"/>
      <c r="CU47" s="371"/>
    </row>
    <row r="48" spans="4:99">
      <c r="D48" s="183"/>
      <c r="E48" s="183" t="s">
        <v>84</v>
      </c>
      <c r="F48" s="183"/>
      <c r="G48" s="184"/>
      <c r="H48" s="183"/>
      <c r="I48" s="183"/>
      <c r="J48" s="183"/>
      <c r="K48" s="183"/>
      <c r="L48" s="184"/>
      <c r="M48" s="184"/>
      <c r="N48" s="184"/>
      <c r="O48" s="183">
        <f>'Attached-DIB_GNESTE_Solar_Power'!V11</f>
        <v>2254.9626</v>
      </c>
      <c r="P48" s="203"/>
      <c r="BD48" s="178" t="s">
        <v>113</v>
      </c>
      <c r="BE48" s="179">
        <v>58.0799440939967</v>
      </c>
      <c r="BF48" s="179">
        <v>108.091941467036</v>
      </c>
      <c r="BG48" s="179">
        <v>154.257312395734</v>
      </c>
      <c r="BH48" s="179">
        <v>119.174303051499</v>
      </c>
      <c r="BI48" s="179">
        <v>164.236076293818</v>
      </c>
      <c r="BK48" s="178" t="s">
        <v>98</v>
      </c>
      <c r="BM48" s="241">
        <f>BE3+BE48</f>
        <v>359.351315695875</v>
      </c>
      <c r="BN48" s="241">
        <f t="shared" ref="BN48:BS55" si="28">BF3+BF48</f>
        <v>668.784758460469</v>
      </c>
      <c r="BO48" s="241">
        <f t="shared" si="28"/>
        <v>954.418414649354</v>
      </c>
      <c r="BP48" s="241">
        <f t="shared" si="28"/>
        <v>737.3533715767</v>
      </c>
      <c r="BQ48" s="241">
        <f t="shared" si="28"/>
        <v>1016.15886553533</v>
      </c>
      <c r="BR48" s="179" t="s">
        <v>98</v>
      </c>
      <c r="BS48" s="179" t="s">
        <v>98</v>
      </c>
      <c r="BZ48" s="173"/>
      <c r="CA48" s="379">
        <v>16.5177600000002</v>
      </c>
      <c r="CB48" s="241">
        <v>48.951</v>
      </c>
      <c r="CC48" s="382">
        <v>113.19156</v>
      </c>
      <c r="CD48" s="241">
        <v>47.9681343692962</v>
      </c>
      <c r="CE48" s="382">
        <v>98.6165735022946</v>
      </c>
      <c r="CP48" t="s">
        <v>39</v>
      </c>
      <c r="CQ48" s="371">
        <f t="shared" ref="CQ48:CQ55" si="29">CA3+CA64</f>
        <v>343.53891</v>
      </c>
      <c r="CR48" s="371">
        <f t="shared" ref="CR48:CR55" si="30">CB3+CB64</f>
        <v>529.04968</v>
      </c>
      <c r="CS48" s="371">
        <f t="shared" ref="CS48:CS55" si="31">CC3+CC64</f>
        <v>650.0943</v>
      </c>
      <c r="CT48" s="371">
        <f t="shared" ref="CT48:CT55" si="32">CD3+CD64</f>
        <v>690.036664872668</v>
      </c>
      <c r="CU48" s="371">
        <f t="shared" ref="CU48:CU55" si="33">CE3+CE64</f>
        <v>892.644014995597</v>
      </c>
    </row>
    <row r="49" s="172" customFormat="1" spans="4:99">
      <c r="D49" s="194"/>
      <c r="E49" s="194" t="s">
        <v>85</v>
      </c>
      <c r="F49" s="194"/>
      <c r="G49" s="194"/>
      <c r="H49" s="194"/>
      <c r="I49" s="194"/>
      <c r="J49" s="194"/>
      <c r="K49" s="194"/>
      <c r="L49" s="194"/>
      <c r="M49" s="194"/>
      <c r="N49" s="194"/>
      <c r="O49" s="194">
        <f>'Attached-DIB_GNESTE_Solar_Power'!AA344</f>
        <v>718.766859876</v>
      </c>
      <c r="P49" s="206"/>
      <c r="AM49" s="13"/>
      <c r="AN49" s="13"/>
      <c r="AO49" s="13"/>
      <c r="AP49" s="13"/>
      <c r="AQ49" s="13"/>
      <c r="AR49" s="13"/>
      <c r="AS49" s="13"/>
      <c r="AT49" s="13"/>
      <c r="AU49" s="13"/>
      <c r="BD49" s="178" t="s">
        <v>114</v>
      </c>
      <c r="BE49" s="179">
        <v>-13.5984956321353</v>
      </c>
      <c r="BF49" s="179">
        <v>-24.1862682328635</v>
      </c>
      <c r="BG49" s="179">
        <v>-40.49797222821</v>
      </c>
      <c r="BH49" s="179">
        <v>-32.406142905085</v>
      </c>
      <c r="BI49" s="179">
        <v>-68.100902768451</v>
      </c>
      <c r="BJ49" s="178"/>
      <c r="BK49" s="178" t="s">
        <v>98</v>
      </c>
      <c r="BM49" s="241">
        <f t="shared" ref="BM49:BM55" si="34">BE4+BE49</f>
        <v>38.6390991264268</v>
      </c>
      <c r="BN49" s="241">
        <f t="shared" si="28"/>
        <v>68.7234559637281</v>
      </c>
      <c r="BO49" s="241">
        <f t="shared" si="28"/>
        <v>115.071931901589</v>
      </c>
      <c r="BP49" s="241">
        <f t="shared" si="28"/>
        <v>92.079609530899</v>
      </c>
      <c r="BQ49" s="241">
        <f t="shared" si="28"/>
        <v>193.503575972853</v>
      </c>
      <c r="BR49" s="179" t="s">
        <v>98</v>
      </c>
      <c r="BS49" s="179" t="s">
        <v>98</v>
      </c>
      <c r="BZ49" s="173"/>
      <c r="CA49" s="379">
        <v>1.70585999999999</v>
      </c>
      <c r="CB49" s="243">
        <v>4.46976000000004</v>
      </c>
      <c r="CC49" s="382">
        <v>8.57460000000003</v>
      </c>
      <c r="CD49" s="243">
        <v>4.41561644090459</v>
      </c>
      <c r="CE49" s="382">
        <v>12.9454265264536</v>
      </c>
      <c r="CP49" t="s">
        <v>115</v>
      </c>
      <c r="CQ49" s="371">
        <f t="shared" si="29"/>
        <v>24.76356</v>
      </c>
      <c r="CR49" s="371">
        <f t="shared" si="30"/>
        <v>33.14341</v>
      </c>
      <c r="CS49" s="371">
        <f t="shared" si="31"/>
        <v>40.30632</v>
      </c>
      <c r="CT49" s="371">
        <f t="shared" si="32"/>
        <v>55.215661838394</v>
      </c>
      <c r="CU49" s="371">
        <f t="shared" si="33"/>
        <v>82.7698823559312</v>
      </c>
    </row>
    <row r="50" spans="4:99">
      <c r="D50" s="183"/>
      <c r="E50" s="183" t="s">
        <v>86</v>
      </c>
      <c r="F50" s="183"/>
      <c r="G50" s="184"/>
      <c r="H50" s="183"/>
      <c r="I50" s="183"/>
      <c r="J50" s="183"/>
      <c r="K50" s="183"/>
      <c r="L50" s="184"/>
      <c r="M50" s="184"/>
      <c r="N50" s="184"/>
      <c r="O50" s="183">
        <f>'Attached-DIB_GNESTE_Solar_Power'!AA345</f>
        <v>922.20861766</v>
      </c>
      <c r="P50" s="203"/>
      <c r="BD50" s="178" t="s">
        <v>116</v>
      </c>
      <c r="BE50" s="179">
        <v>100.269942293565</v>
      </c>
      <c r="BF50" s="179">
        <v>221.944929020149</v>
      </c>
      <c r="BG50" s="179">
        <v>496.984590871706</v>
      </c>
      <c r="BH50" s="179">
        <v>260.222037315164</v>
      </c>
      <c r="BI50" s="179">
        <v>553.325578417325</v>
      </c>
      <c r="BK50" s="178" t="s">
        <v>98</v>
      </c>
      <c r="BM50" s="241">
        <f t="shared" si="34"/>
        <v>401.916502839607</v>
      </c>
      <c r="BN50" s="241">
        <f t="shared" si="28"/>
        <v>889.631804450402</v>
      </c>
      <c r="BO50" s="241">
        <f t="shared" si="28"/>
        <v>1992.08560570944</v>
      </c>
      <c r="BP50" s="241">
        <f t="shared" si="28"/>
        <v>1043.05965284496</v>
      </c>
      <c r="BQ50" s="241">
        <f t="shared" si="28"/>
        <v>2217.91971075527</v>
      </c>
      <c r="BR50" s="179" t="s">
        <v>98</v>
      </c>
      <c r="BS50" s="179" t="s">
        <v>98</v>
      </c>
      <c r="BZ50" s="173"/>
      <c r="CA50" s="379">
        <v>-0.973440000000068</v>
      </c>
      <c r="CB50" s="241">
        <v>1.52234999999993</v>
      </c>
      <c r="CC50" s="382">
        <v>3.17265000000006</v>
      </c>
      <c r="CD50" s="241">
        <v>-1.33368015823544</v>
      </c>
      <c r="CE50" s="382">
        <v>-1.58710300815738</v>
      </c>
      <c r="CP50" t="s">
        <v>37</v>
      </c>
      <c r="CQ50" s="371">
        <f t="shared" si="29"/>
        <v>552.19675</v>
      </c>
      <c r="CR50" s="371">
        <f t="shared" si="30"/>
        <v>1134.06381</v>
      </c>
      <c r="CS50" s="371">
        <f t="shared" si="31"/>
        <v>2666.01174</v>
      </c>
      <c r="CT50" s="371">
        <f t="shared" si="32"/>
        <v>1470.28992291058</v>
      </c>
      <c r="CU50" s="371">
        <f t="shared" si="33"/>
        <v>2998.23207496364</v>
      </c>
    </row>
    <row r="51" spans="4:99">
      <c r="D51" s="182" t="s">
        <v>87</v>
      </c>
      <c r="E51" s="182"/>
      <c r="F51" s="183"/>
      <c r="G51" s="184"/>
      <c r="H51" s="188">
        <f>'Attached-IRENA2024 report'!AB11</f>
        <v>757.687831048275</v>
      </c>
      <c r="I51" s="183"/>
      <c r="J51" s="183"/>
      <c r="K51" s="183"/>
      <c r="L51" s="184"/>
      <c r="M51" s="184"/>
      <c r="N51" s="184"/>
      <c r="O51" s="183">
        <f>AVERAGE('Attached-DIB_GNESTE_Solar_Power'!W76:W322)</f>
        <v>918.0296</v>
      </c>
      <c r="V51" t="s">
        <v>8</v>
      </c>
      <c r="BD51" s="178" t="s">
        <v>76</v>
      </c>
      <c r="BE51" s="179">
        <v>2.25929841937478</v>
      </c>
      <c r="BF51" s="179">
        <v>5.44742441012303</v>
      </c>
      <c r="BG51" s="179">
        <v>8.5416298716258</v>
      </c>
      <c r="BH51" s="179">
        <v>6.36870775354305</v>
      </c>
      <c r="BI51" s="179">
        <v>15.4658339932082</v>
      </c>
      <c r="BK51" s="178" t="s">
        <v>98</v>
      </c>
      <c r="BM51" s="241">
        <f t="shared" si="34"/>
        <v>9.93514031612505</v>
      </c>
      <c r="BN51" s="241">
        <f t="shared" si="28"/>
        <v>23.9547487007206</v>
      </c>
      <c r="BO51" s="241">
        <f t="shared" si="28"/>
        <v>37.561346732802</v>
      </c>
      <c r="BP51" s="241">
        <f t="shared" si="28"/>
        <v>28.0060414424377</v>
      </c>
      <c r="BQ51" s="241">
        <f t="shared" si="28"/>
        <v>68.0101528468926</v>
      </c>
      <c r="BR51" s="179" t="s">
        <v>98</v>
      </c>
      <c r="BS51" s="179" t="s">
        <v>98</v>
      </c>
      <c r="BZ51" s="173"/>
      <c r="CA51" s="379">
        <v>0.967685567901093</v>
      </c>
      <c r="CB51" s="241">
        <v>1.83670837520087</v>
      </c>
      <c r="CC51" s="382">
        <v>5.42276394935152</v>
      </c>
      <c r="CD51" s="241">
        <v>2.9431910241899</v>
      </c>
      <c r="CE51" s="382">
        <v>10.4532314501375</v>
      </c>
      <c r="CP51" t="s">
        <v>117</v>
      </c>
      <c r="CQ51" s="371">
        <f t="shared" si="29"/>
        <v>4.6008</v>
      </c>
      <c r="CR51" s="371">
        <f t="shared" si="30"/>
        <v>5.8167</v>
      </c>
      <c r="CS51" s="371">
        <f t="shared" si="31"/>
        <v>8.29226</v>
      </c>
      <c r="CT51" s="371">
        <f t="shared" si="32"/>
        <v>8.74282126363353</v>
      </c>
      <c r="CU51" s="371">
        <f t="shared" si="33"/>
        <v>20.9141333242832</v>
      </c>
    </row>
    <row r="52" spans="22:99">
      <c r="V52" s="212"/>
      <c r="W52" s="213"/>
      <c r="X52" s="212" t="s">
        <v>40</v>
      </c>
      <c r="Y52" s="212"/>
      <c r="Z52" s="212"/>
      <c r="AA52" s="212"/>
      <c r="AB52" s="212"/>
      <c r="AC52" s="213"/>
      <c r="AD52" s="212" t="s">
        <v>41</v>
      </c>
      <c r="AE52" s="212"/>
      <c r="AF52" s="212"/>
      <c r="AG52" s="212"/>
      <c r="AH52" s="212"/>
      <c r="AI52" s="212"/>
      <c r="AJ52" s="212"/>
      <c r="BD52" s="178" t="s">
        <v>118</v>
      </c>
      <c r="BE52" s="179">
        <v>213.012623604868</v>
      </c>
      <c r="BF52" s="179">
        <v>550.973248382288</v>
      </c>
      <c r="BG52" s="179">
        <v>1143.3735142448</v>
      </c>
      <c r="BH52" s="179">
        <v>570.886617192214</v>
      </c>
      <c r="BI52" s="179">
        <v>1240.77163115619</v>
      </c>
      <c r="BK52" s="178" t="s">
        <v>98</v>
      </c>
      <c r="BM52" s="241">
        <f t="shared" si="34"/>
        <v>1572.01145476979</v>
      </c>
      <c r="BN52" s="241">
        <f t="shared" si="28"/>
        <v>4066.12642514205</v>
      </c>
      <c r="BO52" s="241">
        <f t="shared" si="28"/>
        <v>8437.98001759379</v>
      </c>
      <c r="BP52" s="241">
        <f t="shared" si="28"/>
        <v>4213.08505765205</v>
      </c>
      <c r="BQ52" s="241">
        <f t="shared" si="28"/>
        <v>9156.76819486999</v>
      </c>
      <c r="BR52" s="179" t="s">
        <v>98</v>
      </c>
      <c r="BS52" s="179" t="s">
        <v>98</v>
      </c>
      <c r="CP52" t="s">
        <v>67</v>
      </c>
      <c r="CQ52" s="371">
        <f t="shared" si="29"/>
        <v>545.08608</v>
      </c>
      <c r="CR52" s="371">
        <f t="shared" si="30"/>
        <v>1550.115</v>
      </c>
      <c r="CS52" s="371">
        <f t="shared" si="31"/>
        <v>3169.36368</v>
      </c>
      <c r="CT52" s="371">
        <f t="shared" si="32"/>
        <v>1582.94843418709</v>
      </c>
      <c r="CU52" s="371">
        <f t="shared" si="33"/>
        <v>3254.34692557627</v>
      </c>
    </row>
    <row r="53" spans="22:99">
      <c r="V53" s="214">
        <v>2023</v>
      </c>
      <c r="W53" s="215"/>
      <c r="X53" s="214">
        <v>2030</v>
      </c>
      <c r="Y53" s="214">
        <v>2035</v>
      </c>
      <c r="Z53" s="214">
        <v>2040</v>
      </c>
      <c r="AA53" s="214">
        <v>2045</v>
      </c>
      <c r="AB53" s="214">
        <v>2050</v>
      </c>
      <c r="AC53" s="215"/>
      <c r="AD53" s="214">
        <v>2030</v>
      </c>
      <c r="AE53" s="214">
        <v>2035</v>
      </c>
      <c r="AF53" s="214">
        <v>2040</v>
      </c>
      <c r="AG53" s="214">
        <v>2045</v>
      </c>
      <c r="AH53" s="214">
        <v>2050</v>
      </c>
      <c r="AI53" s="214"/>
      <c r="AJ53" s="214"/>
      <c r="BD53" s="178" t="s">
        <v>119</v>
      </c>
      <c r="BE53" s="179">
        <v>2.76999999999999</v>
      </c>
      <c r="BF53" s="179">
        <v>11.0658389680916</v>
      </c>
      <c r="BG53" s="179">
        <v>30.8440999999999</v>
      </c>
      <c r="BH53" s="179">
        <v>12.8127700164517</v>
      </c>
      <c r="BI53" s="179">
        <v>51.3982849682259</v>
      </c>
      <c r="BK53" s="178" t="s">
        <v>98</v>
      </c>
      <c r="BM53" s="241">
        <f t="shared" si="34"/>
        <v>13.573</v>
      </c>
      <c r="BN53" s="241">
        <f t="shared" si="28"/>
        <v>54.2226109436488</v>
      </c>
      <c r="BO53" s="241">
        <f t="shared" si="28"/>
        <v>165.67688</v>
      </c>
      <c r="BP53" s="241">
        <f t="shared" si="28"/>
        <v>62.7825730806129</v>
      </c>
      <c r="BQ53" s="241">
        <f t="shared" si="28"/>
        <v>251.851596344315</v>
      </c>
      <c r="BR53" s="179" t="s">
        <v>98</v>
      </c>
      <c r="BS53" s="179" t="s">
        <v>98</v>
      </c>
      <c r="CP53" t="s">
        <v>120</v>
      </c>
      <c r="CQ53" s="371">
        <f t="shared" si="29"/>
        <v>65.77038</v>
      </c>
      <c r="CR53" s="371">
        <f t="shared" si="30"/>
        <v>158.67648</v>
      </c>
      <c r="CS53" s="371">
        <f t="shared" si="31"/>
        <v>411.5808</v>
      </c>
      <c r="CT53" s="371">
        <f t="shared" si="32"/>
        <v>170.246544999364</v>
      </c>
      <c r="CU53" s="371">
        <f t="shared" si="33"/>
        <v>499.118111631048</v>
      </c>
    </row>
    <row r="54" spans="22:99">
      <c r="V54" s="216">
        <v>108.16</v>
      </c>
      <c r="W54" s="216"/>
      <c r="X54" s="216">
        <v>169.15</v>
      </c>
      <c r="Y54" s="216">
        <v>199.96</v>
      </c>
      <c r="Z54" s="216">
        <v>210.54</v>
      </c>
      <c r="AA54" s="216">
        <v>211.48</v>
      </c>
      <c r="AB54" s="216">
        <v>211.51</v>
      </c>
      <c r="AC54" s="231"/>
      <c r="AD54" s="216">
        <v>172.08</v>
      </c>
      <c r="AE54" s="216">
        <v>204.21</v>
      </c>
      <c r="AF54" s="216">
        <v>219.15</v>
      </c>
      <c r="AG54" s="216">
        <v>222.29</v>
      </c>
      <c r="AH54" s="216">
        <v>222.41</v>
      </c>
      <c r="AI54" s="216"/>
      <c r="AJ54" s="216"/>
      <c r="BD54" s="178" t="s">
        <v>121</v>
      </c>
      <c r="BE54" s="179">
        <v>4.686</v>
      </c>
      <c r="BF54" s="179">
        <v>13.5340131758467</v>
      </c>
      <c r="BG54" s="179">
        <v>31.5523499999999</v>
      </c>
      <c r="BH54" s="179">
        <v>22.7529643701827</v>
      </c>
      <c r="BI54" s="179">
        <v>71.3611442653968</v>
      </c>
      <c r="BK54" s="178" t="s">
        <v>98</v>
      </c>
      <c r="BM54" s="241">
        <f t="shared" si="34"/>
        <v>32.6316</v>
      </c>
      <c r="BN54" s="241">
        <f t="shared" si="28"/>
        <v>94.2459462972586</v>
      </c>
      <c r="BO54" s="241">
        <f t="shared" si="28"/>
        <v>249.42963</v>
      </c>
      <c r="BP54" s="241">
        <f t="shared" si="28"/>
        <v>158.443370068726</v>
      </c>
      <c r="BQ54" s="241">
        <f t="shared" si="28"/>
        <v>496.933059157214</v>
      </c>
      <c r="BR54" s="179" t="s">
        <v>98</v>
      </c>
      <c r="BS54" s="179" t="s">
        <v>98</v>
      </c>
      <c r="BZ54" s="173" t="s">
        <v>107</v>
      </c>
      <c r="CA54" s="379">
        <v>35.2347600000001</v>
      </c>
      <c r="CB54" s="241">
        <v>56.9148799999998</v>
      </c>
      <c r="CC54" s="382">
        <v>73.3108000000002</v>
      </c>
      <c r="CD54" s="241">
        <v>70.772991268992</v>
      </c>
      <c r="CE54" s="382">
        <v>91.5532323072407</v>
      </c>
      <c r="CP54" t="s">
        <v>122</v>
      </c>
      <c r="CQ54" s="371">
        <f t="shared" si="29"/>
        <v>203.66528</v>
      </c>
      <c r="CR54" s="371">
        <f t="shared" si="30"/>
        <v>216.00455</v>
      </c>
      <c r="CS54" s="371">
        <f t="shared" si="31"/>
        <v>208.33735</v>
      </c>
      <c r="CT54" s="371">
        <f t="shared" si="32"/>
        <v>279.0355264392</v>
      </c>
      <c r="CU54" s="371">
        <f t="shared" si="33"/>
        <v>332.057218262695</v>
      </c>
    </row>
    <row r="55" spans="56:99">
      <c r="BD55" s="178" t="s">
        <v>87</v>
      </c>
      <c r="BE55" s="179">
        <v>576.355182471463</v>
      </c>
      <c r="BF55" s="179">
        <v>1380.6258985993</v>
      </c>
      <c r="BG55" s="179">
        <v>2786.3120501965</v>
      </c>
      <c r="BH55" s="179">
        <v>1491.69069361464</v>
      </c>
      <c r="BI55" s="179">
        <v>3188.04635069004</v>
      </c>
      <c r="BJ55" s="178">
        <v>1515.50513563515</v>
      </c>
      <c r="BK55" s="178">
        <v>3354.11899216381</v>
      </c>
      <c r="BM55" s="241">
        <f t="shared" si="34"/>
        <v>2386.28293880947</v>
      </c>
      <c r="BN55" s="241">
        <f t="shared" si="28"/>
        <v>5716.20439427403</v>
      </c>
      <c r="BO55" s="241">
        <f t="shared" si="28"/>
        <v>11536.1657356353</v>
      </c>
      <c r="BP55" s="241">
        <f t="shared" si="28"/>
        <v>6176.04588352901</v>
      </c>
      <c r="BQ55" s="241">
        <f t="shared" si="28"/>
        <v>13199.4659650034</v>
      </c>
      <c r="BR55" s="241">
        <f t="shared" si="28"/>
        <v>6274.64480034124</v>
      </c>
      <c r="BS55" s="241">
        <f t="shared" si="28"/>
        <v>13887.0564005619</v>
      </c>
      <c r="BZ55" s="173"/>
      <c r="CA55" s="379">
        <v>-2.82064000000001</v>
      </c>
      <c r="CB55" s="241">
        <v>-4.03963999999999</v>
      </c>
      <c r="CC55" s="382">
        <v>-4.22687999999999</v>
      </c>
      <c r="CD55" s="241">
        <v>-6.28922111392106</v>
      </c>
      <c r="CE55" s="382">
        <v>-9.4277252934728</v>
      </c>
      <c r="CP55" t="s">
        <v>75</v>
      </c>
      <c r="CQ55" s="371">
        <f t="shared" si="29"/>
        <v>51.2604463283392</v>
      </c>
      <c r="CR55" s="371">
        <f t="shared" si="30"/>
        <v>97.2945078555131</v>
      </c>
      <c r="CS55" s="371">
        <f t="shared" si="31"/>
        <v>287.255808702258</v>
      </c>
      <c r="CT55" s="371">
        <f t="shared" si="32"/>
        <v>155.90734277118</v>
      </c>
      <c r="CU55" s="371">
        <f t="shared" si="33"/>
        <v>553.730806247119</v>
      </c>
    </row>
    <row r="56" spans="56:83">
      <c r="BD56" s="178" t="s">
        <v>128</v>
      </c>
      <c r="BE56" s="178"/>
      <c r="BF56" s="178"/>
      <c r="BG56" s="178"/>
      <c r="BH56" s="178"/>
      <c r="BI56" s="178"/>
      <c r="BM56" s="241"/>
      <c r="BN56" s="241"/>
      <c r="BO56" s="241"/>
      <c r="BP56" s="242"/>
      <c r="BQ56" s="241"/>
      <c r="BR56" s="241"/>
      <c r="BS56" s="241"/>
      <c r="BZ56" s="173"/>
      <c r="CA56" s="379">
        <v>160.923</v>
      </c>
      <c r="CB56" s="241">
        <v>331.26156</v>
      </c>
      <c r="CC56" s="382">
        <v>780.66584</v>
      </c>
      <c r="CD56" s="241">
        <v>428.476743596447</v>
      </c>
      <c r="CE56" s="382">
        <v>873.754690152326</v>
      </c>
    </row>
    <row r="57" spans="56:99">
      <c r="BD57" s="178" t="s">
        <v>113</v>
      </c>
      <c r="BE57" s="179">
        <v>69.695932912796</v>
      </c>
      <c r="BF57" s="179">
        <v>129.710329760444</v>
      </c>
      <c r="BG57" s="179">
        <v>185.108774874881</v>
      </c>
      <c r="BH57" s="179">
        <v>143.009163661799</v>
      </c>
      <c r="BI57" s="179">
        <v>197.083291552581</v>
      </c>
      <c r="BK57" s="178" t="s">
        <v>98</v>
      </c>
      <c r="BM57" s="241">
        <f>BE3+BE57</f>
        <v>370.967304514674</v>
      </c>
      <c r="BN57" s="241">
        <f t="shared" ref="BN57:BS64" si="35">BF3+BF57</f>
        <v>690.403146753877</v>
      </c>
      <c r="BO57" s="241">
        <f t="shared" si="35"/>
        <v>985.269877128501</v>
      </c>
      <c r="BP57" s="241">
        <f t="shared" si="35"/>
        <v>761.188232187</v>
      </c>
      <c r="BQ57" s="241">
        <f t="shared" si="35"/>
        <v>1049.00608079409</v>
      </c>
      <c r="BR57" s="179" t="s">
        <v>98</v>
      </c>
      <c r="BS57" s="179" t="s">
        <v>98</v>
      </c>
      <c r="BZ57" s="173"/>
      <c r="CA57" s="379">
        <v>0.426000000000002</v>
      </c>
      <c r="CB57" s="241">
        <v>0.579599999999999</v>
      </c>
      <c r="CC57" s="382">
        <v>0.807359999999999</v>
      </c>
      <c r="CD57" s="241">
        <v>0.80952048737344</v>
      </c>
      <c r="CE57" s="382">
        <v>1.93649382632216</v>
      </c>
      <c r="CP57" t="s">
        <v>39</v>
      </c>
      <c r="CQ57" s="371">
        <f t="shared" ref="CQ57:CQ64" si="36">CA3+CA74</f>
        <v>352.3476</v>
      </c>
      <c r="CR57" s="371">
        <f t="shared" ref="CR57:CR64" si="37">CB3+CB74</f>
        <v>543.2784</v>
      </c>
      <c r="CS57" s="371">
        <f t="shared" ref="CS57:CS64" si="38">CC3+CC74</f>
        <v>668.422</v>
      </c>
      <c r="CT57" s="371">
        <f t="shared" ref="CT57:CT64" si="39">CD3+CD74</f>
        <v>707.729912689916</v>
      </c>
      <c r="CU57" s="371">
        <f t="shared" ref="CU57:CU64" si="40">CE3+CE74</f>
        <v>915.532323072407</v>
      </c>
    </row>
    <row r="58" ht="23.5" spans="2:99">
      <c r="B58" s="196" t="s">
        <v>88</v>
      </c>
      <c r="E58" s="177" t="s">
        <v>89</v>
      </c>
      <c r="F58" s="177"/>
      <c r="G58" s="197"/>
      <c r="H58" s="198" t="s">
        <v>96</v>
      </c>
      <c r="I58" s="198"/>
      <c r="J58" s="198"/>
      <c r="K58" s="207" t="s">
        <v>21</v>
      </c>
      <c r="L58" s="207"/>
      <c r="M58" s="207"/>
      <c r="N58" s="208" t="s">
        <v>112</v>
      </c>
      <c r="O58" s="208"/>
      <c r="P58" s="208"/>
      <c r="V58" s="212"/>
      <c r="W58" s="213"/>
      <c r="X58" s="212" t="s">
        <v>40</v>
      </c>
      <c r="Y58" s="212"/>
      <c r="Z58" s="212"/>
      <c r="AA58" s="212"/>
      <c r="AB58" s="212"/>
      <c r="AC58" s="213"/>
      <c r="AD58" s="212" t="s">
        <v>41</v>
      </c>
      <c r="AE58" s="212"/>
      <c r="AF58" s="212"/>
      <c r="AG58" s="212"/>
      <c r="AH58" s="212"/>
      <c r="BD58" s="178" t="s">
        <v>114</v>
      </c>
      <c r="BE58" s="179">
        <v>-16.3181947585623</v>
      </c>
      <c r="BF58" s="179">
        <v>-29.0235218794362</v>
      </c>
      <c r="BG58" s="179">
        <v>-48.597566673852</v>
      </c>
      <c r="BH58" s="179">
        <v>-38.887371486102</v>
      </c>
      <c r="BI58" s="179">
        <v>-81.7210833221412</v>
      </c>
      <c r="BK58" s="178" t="s">
        <v>98</v>
      </c>
      <c r="BM58" s="241">
        <f t="shared" ref="BM58:BM64" si="41">BE4+BE58</f>
        <v>35.9193999999998</v>
      </c>
      <c r="BN58" s="241">
        <f t="shared" si="35"/>
        <v>63.8862023171554</v>
      </c>
      <c r="BO58" s="241">
        <f t="shared" si="35"/>
        <v>106.972337455947</v>
      </c>
      <c r="BP58" s="241">
        <f t="shared" si="35"/>
        <v>85.598380949882</v>
      </c>
      <c r="BQ58" s="241">
        <f t="shared" si="35"/>
        <v>179.883395419163</v>
      </c>
      <c r="BR58" s="179" t="s">
        <v>98</v>
      </c>
      <c r="BS58" s="179" t="s">
        <v>98</v>
      </c>
      <c r="BZ58" s="173"/>
      <c r="CA58" s="379">
        <v>22.0236800000002</v>
      </c>
      <c r="CB58" s="241">
        <v>65.268</v>
      </c>
      <c r="CC58" s="382">
        <v>150.92208</v>
      </c>
      <c r="CD58" s="241">
        <v>63.9575124923949</v>
      </c>
      <c r="CE58" s="382">
        <v>131.488764669726</v>
      </c>
      <c r="CP58" t="s">
        <v>115</v>
      </c>
      <c r="CQ58" s="371">
        <f t="shared" si="36"/>
        <v>24.0584</v>
      </c>
      <c r="CR58" s="371">
        <f t="shared" si="37"/>
        <v>32.1335</v>
      </c>
      <c r="CS58" s="371">
        <f t="shared" si="38"/>
        <v>39.2496</v>
      </c>
      <c r="CT58" s="371">
        <f t="shared" si="39"/>
        <v>53.6433565599137</v>
      </c>
      <c r="CU58" s="371">
        <f t="shared" si="40"/>
        <v>80.412951032563</v>
      </c>
    </row>
    <row r="59" spans="4:99">
      <c r="D59" s="182"/>
      <c r="E59" s="182" t="s">
        <v>92</v>
      </c>
      <c r="F59" s="183" t="s">
        <v>93</v>
      </c>
      <c r="G59" s="184" t="s">
        <v>94</v>
      </c>
      <c r="H59" s="199"/>
      <c r="I59" s="199"/>
      <c r="J59" s="199"/>
      <c r="K59" s="155"/>
      <c r="L59" s="209"/>
      <c r="M59" s="209"/>
      <c r="N59" s="210"/>
      <c r="O59" s="211"/>
      <c r="P59" s="211"/>
      <c r="V59" s="214">
        <v>2023</v>
      </c>
      <c r="W59" s="215"/>
      <c r="X59" s="214">
        <v>2030</v>
      </c>
      <c r="Y59" s="214">
        <v>2035</v>
      </c>
      <c r="Z59" s="214">
        <v>2040</v>
      </c>
      <c r="AA59" s="214">
        <v>2045</v>
      </c>
      <c r="AB59" s="214">
        <v>2050</v>
      </c>
      <c r="AC59" s="215"/>
      <c r="AD59" s="214">
        <v>2030</v>
      </c>
      <c r="AE59" s="214">
        <v>2035</v>
      </c>
      <c r="AF59" s="214">
        <v>2040</v>
      </c>
      <c r="AG59" s="214">
        <v>2045</v>
      </c>
      <c r="AH59" s="214">
        <v>2050</v>
      </c>
      <c r="BD59" s="178" t="s">
        <v>116</v>
      </c>
      <c r="BE59" s="179">
        <v>120.323930752278</v>
      </c>
      <c r="BF59" s="179">
        <v>266.333914824179</v>
      </c>
      <c r="BG59" s="179">
        <v>596.381509046047</v>
      </c>
      <c r="BH59" s="179">
        <v>312.266444778197</v>
      </c>
      <c r="BI59" s="179">
        <v>663.99069410079</v>
      </c>
      <c r="BK59" s="178" t="s">
        <v>98</v>
      </c>
      <c r="BM59" s="241">
        <f t="shared" si="41"/>
        <v>421.97049129832</v>
      </c>
      <c r="BN59" s="241">
        <f t="shared" si="35"/>
        <v>934.020790254432</v>
      </c>
      <c r="BO59" s="241">
        <f t="shared" si="35"/>
        <v>2091.48252388378</v>
      </c>
      <c r="BP59" s="241">
        <f t="shared" si="35"/>
        <v>1095.10406030799</v>
      </c>
      <c r="BQ59" s="241">
        <f t="shared" si="35"/>
        <v>2328.58482643874</v>
      </c>
      <c r="BR59" s="179" t="s">
        <v>98</v>
      </c>
      <c r="BS59" s="179" t="s">
        <v>98</v>
      </c>
      <c r="BZ59" s="173"/>
      <c r="CA59" s="379">
        <v>2.27447999999998</v>
      </c>
      <c r="CB59" s="241">
        <v>5.95968000000005</v>
      </c>
      <c r="CC59" s="382">
        <v>11.4328</v>
      </c>
      <c r="CD59" s="241">
        <v>5.88748858787278</v>
      </c>
      <c r="CE59" s="382">
        <v>17.2605687019382</v>
      </c>
      <c r="CP59" t="s">
        <v>37</v>
      </c>
      <c r="CQ59" s="371">
        <f t="shared" si="36"/>
        <v>592.4275</v>
      </c>
      <c r="CR59" s="371">
        <f t="shared" si="37"/>
        <v>1216.8792</v>
      </c>
      <c r="CS59" s="371">
        <f t="shared" si="38"/>
        <v>2861.1782</v>
      </c>
      <c r="CT59" s="371">
        <f t="shared" si="39"/>
        <v>1577.40910880969</v>
      </c>
      <c r="CU59" s="371">
        <f t="shared" si="40"/>
        <v>3216.67074750172</v>
      </c>
    </row>
    <row r="60" spans="4:99">
      <c r="D60" s="182" t="str">
        <f>D83</f>
        <v>European Union</v>
      </c>
      <c r="E60" s="182">
        <f>E83</f>
        <v>750</v>
      </c>
      <c r="F60" s="182">
        <f>F83</f>
        <v>990</v>
      </c>
      <c r="G60" s="184">
        <f t="shared" ref="G60:G67" si="42">F60-E60</f>
        <v>240</v>
      </c>
      <c r="H60" s="169">
        <v>340</v>
      </c>
      <c r="I60" s="169">
        <v>470</v>
      </c>
      <c r="J60" s="199">
        <f t="shared" ref="J60:J67" si="43">I60-H60</f>
        <v>130</v>
      </c>
      <c r="K60" s="155">
        <f>H60*(0.8)^(LOG((AH19/AB19),2))</f>
        <v>338.659606960022</v>
      </c>
      <c r="L60" s="209">
        <f>I60*(0.8)^(LOG((AH19/AB19),2))</f>
        <v>468.147103738854</v>
      </c>
      <c r="M60" s="155">
        <f t="shared" ref="M60:M67" si="44">L60-K60</f>
        <v>129.487496778832</v>
      </c>
      <c r="N60" s="372"/>
      <c r="O60" s="372"/>
      <c r="P60" s="372"/>
      <c r="V60" s="216">
        <v>17.04</v>
      </c>
      <c r="W60" s="216"/>
      <c r="X60" s="216">
        <v>81.43</v>
      </c>
      <c r="Y60" s="216">
        <v>152.02</v>
      </c>
      <c r="Z60" s="216">
        <v>220.44</v>
      </c>
      <c r="AA60" s="216">
        <v>285.15</v>
      </c>
      <c r="AB60" s="216">
        <v>332.13</v>
      </c>
      <c r="AC60" s="231"/>
      <c r="AD60" s="216">
        <v>175.19</v>
      </c>
      <c r="AE60" s="216">
        <v>347.96</v>
      </c>
      <c r="AF60" s="216">
        <v>535.77</v>
      </c>
      <c r="AG60" s="216">
        <v>737.89</v>
      </c>
      <c r="AH60" s="216">
        <v>945.41</v>
      </c>
      <c r="BD60" s="178" t="s">
        <v>76</v>
      </c>
      <c r="BE60" s="179">
        <v>2.71115810324974</v>
      </c>
      <c r="BF60" s="179">
        <v>6.53690929214764</v>
      </c>
      <c r="BG60" s="179">
        <v>10.249955845951</v>
      </c>
      <c r="BH60" s="179">
        <v>7.64244930425166</v>
      </c>
      <c r="BI60" s="179">
        <v>18.5590007918498</v>
      </c>
      <c r="BK60" s="178" t="s">
        <v>98</v>
      </c>
      <c r="BM60" s="241">
        <f t="shared" si="41"/>
        <v>10.387</v>
      </c>
      <c r="BN60" s="241">
        <f t="shared" si="35"/>
        <v>25.0442335827452</v>
      </c>
      <c r="BO60" s="241">
        <f t="shared" si="35"/>
        <v>39.2696727071272</v>
      </c>
      <c r="BP60" s="241">
        <f t="shared" si="35"/>
        <v>29.2797829931464</v>
      </c>
      <c r="BQ60" s="241">
        <f t="shared" si="35"/>
        <v>71.1033196455342</v>
      </c>
      <c r="BR60" s="179" t="s">
        <v>98</v>
      </c>
      <c r="BS60" s="179" t="s">
        <v>98</v>
      </c>
      <c r="BZ60" s="173"/>
      <c r="CA60" s="379">
        <v>-1.29792000000009</v>
      </c>
      <c r="CB60" s="241">
        <v>2.02979999999991</v>
      </c>
      <c r="CC60" s="382">
        <v>4.23020000000008</v>
      </c>
      <c r="CD60" s="241">
        <v>-1.77824021098058</v>
      </c>
      <c r="CE60" s="382">
        <v>-2.11613734420985</v>
      </c>
      <c r="CP60" t="s">
        <v>117</v>
      </c>
      <c r="CQ60" s="371">
        <f t="shared" si="36"/>
        <v>4.7073</v>
      </c>
      <c r="CR60" s="371">
        <f t="shared" si="37"/>
        <v>5.9616</v>
      </c>
      <c r="CS60" s="371">
        <f t="shared" si="38"/>
        <v>8.4941</v>
      </c>
      <c r="CT60" s="371">
        <f t="shared" si="39"/>
        <v>8.94520138547689</v>
      </c>
      <c r="CU60" s="371">
        <f t="shared" si="40"/>
        <v>21.3982567808637</v>
      </c>
    </row>
    <row r="61" spans="4:99">
      <c r="D61" s="182" t="str">
        <f>D89</f>
        <v>Brazil</v>
      </c>
      <c r="E61" s="182">
        <f>E89</f>
        <v>730</v>
      </c>
      <c r="F61" s="182">
        <f>F89</f>
        <v>560</v>
      </c>
      <c r="G61" s="184">
        <f t="shared" si="42"/>
        <v>-170</v>
      </c>
      <c r="H61" s="171">
        <v>330</v>
      </c>
      <c r="I61" s="171">
        <v>260</v>
      </c>
      <c r="J61" s="199">
        <f t="shared" si="43"/>
        <v>-70</v>
      </c>
      <c r="K61" s="155">
        <f>H61*(0.8)^(LOG((AH13/AB13),2))</f>
        <v>282.043123670645</v>
      </c>
      <c r="L61" s="209">
        <f>I61*(0.8)^(LOG((AH13/AB13),2))</f>
        <v>222.215794407175</v>
      </c>
      <c r="M61" s="155">
        <f t="shared" si="44"/>
        <v>-59.8273292634702</v>
      </c>
      <c r="N61" s="372"/>
      <c r="O61" s="372"/>
      <c r="P61" s="372"/>
      <c r="BD61" s="178" t="s">
        <v>118</v>
      </c>
      <c r="BE61" s="179">
        <v>255.615148325842</v>
      </c>
      <c r="BF61" s="179">
        <v>661.167898058746</v>
      </c>
      <c r="BG61" s="179">
        <v>1372.04821709376</v>
      </c>
      <c r="BH61" s="179">
        <v>685.063940630656</v>
      </c>
      <c r="BI61" s="179">
        <v>1488.92595738742</v>
      </c>
      <c r="BK61" s="178" t="s">
        <v>98</v>
      </c>
      <c r="BM61" s="241">
        <f t="shared" si="41"/>
        <v>1614.61397949076</v>
      </c>
      <c r="BN61" s="241">
        <f t="shared" si="35"/>
        <v>4176.32107481851</v>
      </c>
      <c r="BO61" s="241">
        <f t="shared" si="35"/>
        <v>8666.65472044275</v>
      </c>
      <c r="BP61" s="241">
        <f t="shared" si="35"/>
        <v>4327.2623810905</v>
      </c>
      <c r="BQ61" s="241">
        <f t="shared" si="35"/>
        <v>9404.92252110122</v>
      </c>
      <c r="BR61" s="179" t="s">
        <v>98</v>
      </c>
      <c r="BS61" s="179" t="s">
        <v>98</v>
      </c>
      <c r="BZ61" s="173"/>
      <c r="CA61" s="379">
        <v>1.29024742386812</v>
      </c>
      <c r="CB61" s="241">
        <v>2.44894450026783</v>
      </c>
      <c r="CC61" s="382">
        <v>7.23035193246869</v>
      </c>
      <c r="CD61" s="241">
        <v>3.92425469891987</v>
      </c>
      <c r="CE61" s="382">
        <v>13.9376419335167</v>
      </c>
      <c r="CP61" t="s">
        <v>67</v>
      </c>
      <c r="CQ61" s="371">
        <f t="shared" si="36"/>
        <v>550.592</v>
      </c>
      <c r="CR61" s="371">
        <f t="shared" si="37"/>
        <v>1566.432</v>
      </c>
      <c r="CS61" s="371">
        <f t="shared" si="38"/>
        <v>3207.0942</v>
      </c>
      <c r="CT61" s="371">
        <f t="shared" si="39"/>
        <v>1598.93781231019</v>
      </c>
      <c r="CU61" s="371">
        <f t="shared" si="40"/>
        <v>3287.2191167437</v>
      </c>
    </row>
    <row r="62" spans="4:99">
      <c r="D62" s="182" t="str">
        <f>D84</f>
        <v>United States</v>
      </c>
      <c r="E62" s="182">
        <f>E84</f>
        <v>1110</v>
      </c>
      <c r="F62" s="182">
        <f>F84</f>
        <v>3460</v>
      </c>
      <c r="G62" s="184">
        <f t="shared" si="42"/>
        <v>2350</v>
      </c>
      <c r="H62" s="169">
        <v>480</v>
      </c>
      <c r="I62" s="169">
        <v>1490</v>
      </c>
      <c r="J62" s="199">
        <f t="shared" si="43"/>
        <v>1010</v>
      </c>
      <c r="K62" s="155">
        <f>H62*(0.8)^(LOG((AH6/AB6),2))</f>
        <v>467.408629193688</v>
      </c>
      <c r="L62" s="209">
        <f>I62*(0.8)^(LOG((AH6/AB6),2))</f>
        <v>1450.91428645541</v>
      </c>
      <c r="M62" s="155">
        <f t="shared" si="44"/>
        <v>983.505657261719</v>
      </c>
      <c r="N62" s="372"/>
      <c r="O62" s="372"/>
      <c r="P62" s="372"/>
      <c r="BD62" s="178" t="s">
        <v>119</v>
      </c>
      <c r="BE62" s="179">
        <v>3.32399999999999</v>
      </c>
      <c r="BF62" s="179">
        <v>13.2790067617099</v>
      </c>
      <c r="BG62" s="179">
        <v>37.0129199999999</v>
      </c>
      <c r="BH62" s="179">
        <v>15.3753240197421</v>
      </c>
      <c r="BI62" s="179">
        <v>61.6779419618711</v>
      </c>
      <c r="BK62" s="178" t="s">
        <v>98</v>
      </c>
      <c r="BM62" s="241">
        <f t="shared" si="41"/>
        <v>14.127</v>
      </c>
      <c r="BN62" s="241">
        <f t="shared" si="35"/>
        <v>56.4357787372671</v>
      </c>
      <c r="BO62" s="241">
        <f t="shared" si="35"/>
        <v>171.8457</v>
      </c>
      <c r="BP62" s="241">
        <f t="shared" si="35"/>
        <v>65.3451270839033</v>
      </c>
      <c r="BQ62" s="241">
        <f t="shared" si="35"/>
        <v>262.13125333796</v>
      </c>
      <c r="BR62" s="179" t="s">
        <v>98</v>
      </c>
      <c r="BS62" s="179" t="s">
        <v>98</v>
      </c>
      <c r="CH62" s="241"/>
      <c r="CP62" t="s">
        <v>120</v>
      </c>
      <c r="CQ62" s="371">
        <f t="shared" si="36"/>
        <v>66.339</v>
      </c>
      <c r="CR62" s="371">
        <f t="shared" si="37"/>
        <v>160.1664</v>
      </c>
      <c r="CS62" s="371">
        <f t="shared" si="38"/>
        <v>414.439</v>
      </c>
      <c r="CT62" s="371">
        <f t="shared" si="39"/>
        <v>171.718417146332</v>
      </c>
      <c r="CU62" s="371">
        <f t="shared" si="40"/>
        <v>503.433253806532</v>
      </c>
    </row>
    <row r="63" spans="4:99">
      <c r="D63" s="182" t="str">
        <f t="shared" ref="D63:F65" si="45">D86</f>
        <v>Russia</v>
      </c>
      <c r="E63" s="182">
        <f t="shared" si="45"/>
        <v>1250</v>
      </c>
      <c r="F63" s="182">
        <f t="shared" si="45"/>
        <v>1610</v>
      </c>
      <c r="G63" s="184">
        <f t="shared" si="42"/>
        <v>360</v>
      </c>
      <c r="H63" s="169">
        <v>580</v>
      </c>
      <c r="I63" s="169">
        <v>780</v>
      </c>
      <c r="J63" s="199">
        <f t="shared" si="43"/>
        <v>200</v>
      </c>
      <c r="K63" s="155">
        <f>H63*(0.8)^(LOG((AH25/AB25),2))</f>
        <v>439.763763334619</v>
      </c>
      <c r="L63" s="209">
        <f>I63*(0.8)^(LOG((AH25/AB25),2))</f>
        <v>591.406440346556</v>
      </c>
      <c r="M63" s="155">
        <f t="shared" si="44"/>
        <v>151.642677011937</v>
      </c>
      <c r="N63" s="372"/>
      <c r="O63" s="372"/>
      <c r="P63" s="372"/>
      <c r="BD63" s="178" t="s">
        <v>121</v>
      </c>
      <c r="BE63" s="179">
        <v>5.6232</v>
      </c>
      <c r="BF63" s="179">
        <v>16.240815811016</v>
      </c>
      <c r="BG63" s="179">
        <v>37.8628199999999</v>
      </c>
      <c r="BH63" s="179">
        <v>27.3035572442192</v>
      </c>
      <c r="BI63" s="179">
        <v>85.6333731184761</v>
      </c>
      <c r="BK63" s="178" t="s">
        <v>98</v>
      </c>
      <c r="BM63" s="241">
        <f t="shared" si="41"/>
        <v>33.5688</v>
      </c>
      <c r="BN63" s="241">
        <f t="shared" si="35"/>
        <v>96.9527489324279</v>
      </c>
      <c r="BO63" s="241">
        <f t="shared" si="35"/>
        <v>255.7401</v>
      </c>
      <c r="BP63" s="241">
        <f t="shared" si="35"/>
        <v>162.993962942762</v>
      </c>
      <c r="BQ63" s="241">
        <f t="shared" si="35"/>
        <v>511.205288010293</v>
      </c>
      <c r="BR63" s="179" t="s">
        <v>98</v>
      </c>
      <c r="BS63" s="179" t="s">
        <v>98</v>
      </c>
      <c r="CP63" t="s">
        <v>122</v>
      </c>
      <c r="CQ63" s="371">
        <f t="shared" si="36"/>
        <v>203.3408</v>
      </c>
      <c r="CR63" s="371">
        <f t="shared" si="37"/>
        <v>216.512</v>
      </c>
      <c r="CS63" s="371">
        <f t="shared" si="38"/>
        <v>209.3949</v>
      </c>
      <c r="CT63" s="371">
        <f t="shared" si="39"/>
        <v>278.590966386455</v>
      </c>
      <c r="CU63" s="371">
        <f t="shared" si="40"/>
        <v>331.528183926642</v>
      </c>
    </row>
    <row r="64" spans="4:99">
      <c r="D64" s="182" t="str">
        <f t="shared" si="45"/>
        <v>China</v>
      </c>
      <c r="E64" s="182">
        <f t="shared" si="45"/>
        <v>670</v>
      </c>
      <c r="F64" s="182">
        <f t="shared" si="45"/>
        <v>750</v>
      </c>
      <c r="G64" s="184">
        <f t="shared" si="42"/>
        <v>80</v>
      </c>
      <c r="H64" s="169">
        <v>280</v>
      </c>
      <c r="I64" s="169">
        <v>310</v>
      </c>
      <c r="J64" s="199">
        <f t="shared" si="43"/>
        <v>30</v>
      </c>
      <c r="K64" s="155">
        <f>H64*(0.8)^(LOG((AH31/AB31),2))</f>
        <v>278.442152179184</v>
      </c>
      <c r="L64" s="209">
        <f>I64*(0.8)^(LOG((AH31/AB31),2))</f>
        <v>308.275239912668</v>
      </c>
      <c r="M64" s="155">
        <f t="shared" si="44"/>
        <v>29.833087733484</v>
      </c>
      <c r="N64" s="372"/>
      <c r="O64" s="372"/>
      <c r="P64" s="372"/>
      <c r="BD64" s="178" t="s">
        <v>87</v>
      </c>
      <c r="BE64" s="179">
        <v>691.626218965755</v>
      </c>
      <c r="BF64" s="179">
        <v>1656.75107831916</v>
      </c>
      <c r="BG64" s="179">
        <v>3343.5744602358</v>
      </c>
      <c r="BH64" s="179">
        <v>1790.02883233756</v>
      </c>
      <c r="BI64" s="179">
        <v>3825.65562082805</v>
      </c>
      <c r="BJ64" s="178">
        <v>1818.60616276218</v>
      </c>
      <c r="BK64" s="178">
        <v>4024.94279059657</v>
      </c>
      <c r="BM64" s="241">
        <f t="shared" si="41"/>
        <v>2501.55397530377</v>
      </c>
      <c r="BN64" s="241">
        <f t="shared" si="35"/>
        <v>5992.32957399389</v>
      </c>
      <c r="BO64" s="241">
        <f t="shared" si="35"/>
        <v>12093.4281456747</v>
      </c>
      <c r="BP64" s="241">
        <f t="shared" si="35"/>
        <v>6474.38402225193</v>
      </c>
      <c r="BQ64" s="241">
        <f t="shared" si="35"/>
        <v>13837.0752351414</v>
      </c>
      <c r="BR64" s="241">
        <f t="shared" si="35"/>
        <v>6577.74582746827</v>
      </c>
      <c r="BS64" s="241">
        <f t="shared" si="35"/>
        <v>14557.8801989947</v>
      </c>
      <c r="BZ64" s="173" t="s">
        <v>108</v>
      </c>
      <c r="CA64" s="379">
        <v>44.0434500000001</v>
      </c>
      <c r="CB64" s="241">
        <v>71.1435999999998</v>
      </c>
      <c r="CC64" s="382">
        <v>91.6385000000002</v>
      </c>
      <c r="CD64" s="241">
        <v>88.46623908624</v>
      </c>
      <c r="CE64" s="382">
        <v>114.441540384051</v>
      </c>
      <c r="CP64" t="s">
        <v>75</v>
      </c>
      <c r="CQ64" s="371">
        <f t="shared" si="36"/>
        <v>51.5830081843063</v>
      </c>
      <c r="CR64" s="371">
        <f t="shared" si="37"/>
        <v>97.90674398058</v>
      </c>
      <c r="CS64" s="371">
        <f t="shared" si="38"/>
        <v>289.063396685375</v>
      </c>
      <c r="CT64" s="371">
        <f t="shared" si="39"/>
        <v>156.88840644591</v>
      </c>
      <c r="CU64" s="371">
        <f t="shared" si="40"/>
        <v>557.215216730498</v>
      </c>
    </row>
    <row r="65" s="175" customFormat="1" spans="4:99">
      <c r="D65" s="251" t="str">
        <f t="shared" si="45"/>
        <v>India</v>
      </c>
      <c r="E65" s="251">
        <f t="shared" si="45"/>
        <v>710</v>
      </c>
      <c r="F65" s="251">
        <f t="shared" si="45"/>
        <v>780</v>
      </c>
      <c r="G65" s="184">
        <f t="shared" si="42"/>
        <v>70</v>
      </c>
      <c r="H65" s="169">
        <v>300</v>
      </c>
      <c r="I65" s="169">
        <v>330</v>
      </c>
      <c r="J65" s="199">
        <f t="shared" si="43"/>
        <v>30</v>
      </c>
      <c r="K65" s="277">
        <f>H65*(0.8)^(LOG((AH46/AB46),2))</f>
        <v>274.535854503235</v>
      </c>
      <c r="L65" s="277">
        <f>I65*(0.8)^(LOG((AH46/AB46),2))</f>
        <v>301.989439953559</v>
      </c>
      <c r="M65" s="155">
        <f t="shared" si="44"/>
        <v>27.4535854503235</v>
      </c>
      <c r="N65" s="372"/>
      <c r="O65" s="372"/>
      <c r="P65" s="372"/>
      <c r="BD65" s="178"/>
      <c r="BE65" s="179"/>
      <c r="BF65" s="179"/>
      <c r="BG65" s="179"/>
      <c r="BH65" s="179"/>
      <c r="BI65" s="179"/>
      <c r="BJ65" s="178"/>
      <c r="BK65" s="178"/>
      <c r="BL65"/>
      <c r="BM65" s="241"/>
      <c r="BN65" s="241"/>
      <c r="BO65" s="241"/>
      <c r="BP65" s="241"/>
      <c r="BQ65" s="241"/>
      <c r="BR65" s="241"/>
      <c r="BS65" s="241"/>
      <c r="BZ65" s="173"/>
      <c r="CA65" s="379">
        <v>-3.52580000000001</v>
      </c>
      <c r="CB65" s="296">
        <v>-5.04954999999999</v>
      </c>
      <c r="CC65" s="382">
        <v>-5.28359999999999</v>
      </c>
      <c r="CD65" s="296">
        <v>-7.86152639240132</v>
      </c>
      <c r="CE65" s="382">
        <v>-11.784656616841</v>
      </c>
      <c r="CQ65" s="371"/>
      <c r="CR65" s="371"/>
      <c r="CS65" s="371"/>
      <c r="CT65" s="371"/>
      <c r="CU65" s="371"/>
    </row>
    <row r="66" spans="4:83">
      <c r="D66" s="173" t="str">
        <f>D85</f>
        <v>Japan</v>
      </c>
      <c r="E66" s="173">
        <f>E85</f>
        <v>1880</v>
      </c>
      <c r="F66" s="173">
        <f>F85</f>
        <v>1850</v>
      </c>
      <c r="G66" s="336">
        <f t="shared" si="42"/>
        <v>-30</v>
      </c>
      <c r="H66" s="169">
        <v>940</v>
      </c>
      <c r="I66" s="169">
        <v>990</v>
      </c>
      <c r="J66" s="199">
        <f t="shared" si="43"/>
        <v>50</v>
      </c>
      <c r="K66" s="155">
        <f>H66*(0.8)^(LOG((AH54/AB54),2))</f>
        <v>924.915987511445</v>
      </c>
      <c r="L66" s="209">
        <f>I66*(0.8)^(LOG((AH54/AB54),2))</f>
        <v>974.113646421629</v>
      </c>
      <c r="M66" s="209">
        <f t="shared" si="44"/>
        <v>49.1976589101832</v>
      </c>
      <c r="N66" s="372"/>
      <c r="O66" s="372"/>
      <c r="P66" s="372"/>
      <c r="BL66" s="291"/>
      <c r="BM66" s="292"/>
      <c r="BN66" s="292"/>
      <c r="BO66" s="292"/>
      <c r="BP66" s="292"/>
      <c r="BQ66" s="292"/>
      <c r="BR66" s="292"/>
      <c r="BS66" s="292"/>
      <c r="BZ66" s="173"/>
      <c r="CA66" s="379">
        <v>201.15375</v>
      </c>
      <c r="CB66" s="241">
        <v>414.07695</v>
      </c>
      <c r="CC66" s="382">
        <v>975.8323</v>
      </c>
      <c r="CD66" s="241">
        <v>535.595929495559</v>
      </c>
      <c r="CE66" s="382">
        <v>1092.19336269041</v>
      </c>
    </row>
    <row r="67" spans="4:83">
      <c r="D67" s="183" t="s">
        <v>85</v>
      </c>
      <c r="E67" s="386">
        <f>AVERAGE(H44,O44:O47,O49)</f>
        <v>1505.05414331267</v>
      </c>
      <c r="F67" s="340">
        <f>'Summarize-ForReg(Current&amp;2050)'!F64</f>
        <v>1605.44687781843</v>
      </c>
      <c r="G67" s="184">
        <f t="shared" si="42"/>
        <v>100.392734505761</v>
      </c>
      <c r="H67" s="13">
        <f>E67*(0.8)^(LOG((AB39/V39),2))</f>
        <v>664.038611223518</v>
      </c>
      <c r="I67" s="13">
        <f>F67*(0.8)^(LOG((AB39/V39),2))</f>
        <v>708.33246755709</v>
      </c>
      <c r="J67" s="13">
        <f t="shared" si="43"/>
        <v>44.293856333572</v>
      </c>
      <c r="K67" s="155">
        <f>E67*(0.8)^(LOG((AH39/V39),2))</f>
        <v>486.261344457305</v>
      </c>
      <c r="L67" s="209">
        <f>F67*(0.8)^(LOG((AH39/V39),2))</f>
        <v>518.696792890456</v>
      </c>
      <c r="M67" s="155">
        <f t="shared" si="44"/>
        <v>32.435448433151</v>
      </c>
      <c r="N67" s="399" t="s">
        <v>98</v>
      </c>
      <c r="O67" s="399" t="s">
        <v>98</v>
      </c>
      <c r="P67" s="399" t="s">
        <v>98</v>
      </c>
      <c r="BL67" s="174"/>
      <c r="BM67" s="294"/>
      <c r="BN67" s="294"/>
      <c r="BO67" s="294"/>
      <c r="BP67" s="294"/>
      <c r="BQ67" s="294"/>
      <c r="BR67" s="294"/>
      <c r="BS67" s="294"/>
      <c r="BZ67" s="173"/>
      <c r="CA67" s="379">
        <v>0.532500000000002</v>
      </c>
      <c r="CB67" s="241">
        <v>0.724499999999999</v>
      </c>
      <c r="CC67" s="382">
        <v>1.0092</v>
      </c>
      <c r="CD67" s="241">
        <v>1.0119006092168</v>
      </c>
      <c r="CE67" s="382">
        <v>2.4206172829027</v>
      </c>
    </row>
    <row r="68" spans="4:83">
      <c r="D68" s="182"/>
      <c r="E68" s="182"/>
      <c r="F68" s="183"/>
      <c r="G68" s="184"/>
      <c r="H68" s="199"/>
      <c r="I68" s="199"/>
      <c r="J68" s="199"/>
      <c r="K68" s="155"/>
      <c r="L68" s="209"/>
      <c r="M68" s="155"/>
      <c r="N68" s="210"/>
      <c r="O68" s="211"/>
      <c r="P68" s="211"/>
      <c r="BL68" s="174"/>
      <c r="BM68" s="294"/>
      <c r="BN68" s="294"/>
      <c r="BO68" s="294"/>
      <c r="BP68" s="294"/>
      <c r="BQ68" s="294"/>
      <c r="BR68" s="294"/>
      <c r="BS68" s="294"/>
      <c r="BZ68" s="173"/>
      <c r="CA68" s="379">
        <v>27.5296000000003</v>
      </c>
      <c r="CB68" s="241">
        <v>81.585</v>
      </c>
      <c r="CC68" s="382">
        <v>188.6526</v>
      </c>
      <c r="CD68" s="241">
        <v>79.9468906154937</v>
      </c>
      <c r="CE68" s="382">
        <v>164.360955837158</v>
      </c>
    </row>
    <row r="69" spans="64:83">
      <c r="BL69" s="175"/>
      <c r="BM69" s="296"/>
      <c r="BN69" s="296"/>
      <c r="BO69" s="296"/>
      <c r="BP69" s="296"/>
      <c r="BQ69" s="296"/>
      <c r="BR69" s="296"/>
      <c r="BS69" s="296"/>
      <c r="BZ69" s="173"/>
      <c r="CA69" s="379">
        <v>2.84309999999998</v>
      </c>
      <c r="CB69" s="241">
        <v>7.44960000000006</v>
      </c>
      <c r="CC69" s="382">
        <v>14.2910000000001</v>
      </c>
      <c r="CD69" s="241">
        <v>7.35936073484098</v>
      </c>
      <c r="CE69" s="382">
        <v>21.5757108774227</v>
      </c>
    </row>
    <row r="70" s="174" customFormat="1" spans="5:99">
      <c r="E70" s="254"/>
      <c r="F70" s="176"/>
      <c r="G70" s="255"/>
      <c r="H70" s="211"/>
      <c r="I70" s="211"/>
      <c r="J70" s="211"/>
      <c r="K70" s="176"/>
      <c r="L70" s="255"/>
      <c r="M70" s="255"/>
      <c r="N70" s="210"/>
      <c r="O70" s="211"/>
      <c r="P70" s="211"/>
      <c r="BD70" s="178"/>
      <c r="BE70" s="179"/>
      <c r="BF70" s="179"/>
      <c r="BG70" s="179"/>
      <c r="BH70" s="179"/>
      <c r="BI70" s="179"/>
      <c r="BJ70" s="178"/>
      <c r="BK70" s="178"/>
      <c r="BM70" s="294"/>
      <c r="BN70" s="294"/>
      <c r="BO70" s="294"/>
      <c r="BP70" s="294"/>
      <c r="BQ70" s="294"/>
      <c r="BR70" s="294"/>
      <c r="BS70" s="294"/>
      <c r="BZ70" s="173"/>
      <c r="CA70" s="379">
        <v>-1.62240000000011</v>
      </c>
      <c r="CB70" s="294">
        <v>2.53724999999989</v>
      </c>
      <c r="CC70" s="382">
        <v>5.2877500000001</v>
      </c>
      <c r="CD70" s="294">
        <v>-2.22280026372573</v>
      </c>
      <c r="CE70" s="382">
        <v>-2.64517168026231</v>
      </c>
      <c r="CQ70" s="297"/>
      <c r="CR70" s="297"/>
      <c r="CS70" s="297"/>
      <c r="CT70" s="297"/>
      <c r="CU70" s="297"/>
    </row>
    <row r="71" s="174" customFormat="1" spans="5:99">
      <c r="E71" s="254"/>
      <c r="F71" s="176"/>
      <c r="G71" s="255"/>
      <c r="H71" s="211"/>
      <c r="I71" s="211"/>
      <c r="J71" s="211"/>
      <c r="K71" s="176"/>
      <c r="L71" s="255"/>
      <c r="M71" s="255"/>
      <c r="N71" s="210"/>
      <c r="O71" s="211"/>
      <c r="P71" s="211"/>
      <c r="BD71" s="178"/>
      <c r="BE71" s="179"/>
      <c r="BF71" s="179"/>
      <c r="BG71" s="179"/>
      <c r="BH71" s="179"/>
      <c r="BI71" s="179"/>
      <c r="BJ71" s="178"/>
      <c r="BK71" s="178"/>
      <c r="BM71" s="294"/>
      <c r="BN71" s="294"/>
      <c r="BO71" s="294"/>
      <c r="BP71" s="294"/>
      <c r="BQ71" s="294"/>
      <c r="BR71" s="294"/>
      <c r="BS71" s="294"/>
      <c r="BZ71" s="173"/>
      <c r="CA71" s="379">
        <v>1.61280927983515</v>
      </c>
      <c r="CB71" s="294">
        <v>3.06118062533478</v>
      </c>
      <c r="CC71" s="382">
        <v>9.03793991558587</v>
      </c>
      <c r="CD71" s="294">
        <v>4.90531837364983</v>
      </c>
      <c r="CE71" s="382">
        <v>17.4220524168959</v>
      </c>
      <c r="CQ71" s="297"/>
      <c r="CR71" s="297"/>
      <c r="CS71" s="297"/>
      <c r="CT71" s="297"/>
      <c r="CU71" s="297"/>
    </row>
    <row r="72" s="174" customFormat="1" ht="23.5" spans="2:99">
      <c r="B72" s="181" t="s">
        <v>99</v>
      </c>
      <c r="D72" s="173"/>
      <c r="E72" s="174" t="s">
        <v>100</v>
      </c>
      <c r="F72" s="387" t="s">
        <v>96</v>
      </c>
      <c r="G72" s="388" t="s">
        <v>21</v>
      </c>
      <c r="H72" s="255"/>
      <c r="I72" s="155" t="s">
        <v>101</v>
      </c>
      <c r="J72" s="176"/>
      <c r="K72" s="176"/>
      <c r="L72" s="255"/>
      <c r="M72" s="255"/>
      <c r="N72" s="255"/>
      <c r="O72" s="176"/>
      <c r="BD72" s="178"/>
      <c r="BE72" s="179"/>
      <c r="BF72" s="179"/>
      <c r="BG72" s="179"/>
      <c r="BH72" s="179"/>
      <c r="BI72" s="179"/>
      <c r="BJ72" s="178"/>
      <c r="BK72" s="178"/>
      <c r="BL72"/>
      <c r="BM72" s="241"/>
      <c r="BN72" s="241"/>
      <c r="BO72" s="241"/>
      <c r="BP72" s="241"/>
      <c r="BQ72" s="241"/>
      <c r="BR72" s="241"/>
      <c r="BS72" s="241"/>
      <c r="BZ72"/>
      <c r="CA72" s="242"/>
      <c r="CB72" s="294"/>
      <c r="CC72" s="370"/>
      <c r="CD72" s="294"/>
      <c r="CE72" s="370"/>
      <c r="CQ72" s="297"/>
      <c r="CR72" s="297"/>
      <c r="CS72" s="297"/>
      <c r="CT72" s="297"/>
      <c r="CU72" s="297"/>
    </row>
    <row r="73" spans="4:71">
      <c r="D73" s="182" t="s">
        <v>6</v>
      </c>
      <c r="E73" s="389">
        <f>(E60*0.6+F60*0.4)*X95/1000</f>
        <v>225.82278</v>
      </c>
      <c r="F73" s="390">
        <f>(H60*0.6+I60*0.4)*Z95/1000</f>
        <v>422.6152</v>
      </c>
      <c r="G73" s="391">
        <f>(K60*0.6+L60*0.4)*AB95/1000</f>
        <v>426.146061175992</v>
      </c>
      <c r="H73" s="51"/>
      <c r="I73" s="182" t="s">
        <v>6</v>
      </c>
      <c r="J73" s="272">
        <f>(H60*0.6+I60*0.4)*Z95/1000</f>
        <v>422.6152</v>
      </c>
      <c r="BM73" s="241"/>
      <c r="BN73" s="241"/>
      <c r="BO73" s="241"/>
      <c r="BP73" s="241"/>
      <c r="BQ73" s="241"/>
      <c r="BR73" s="241"/>
      <c r="BS73" s="241"/>
    </row>
    <row r="74" spans="4:83">
      <c r="D74" s="182" t="s">
        <v>14</v>
      </c>
      <c r="E74" s="389">
        <f t="shared" ref="E74:E79" si="46">(E61*0.6+F61*0.4)*X96/1000</f>
        <v>27.45976</v>
      </c>
      <c r="F74" s="390">
        <f t="shared" ref="F74:F80" si="47">(H61*0.6+I61*0.4)*Z96/1000</f>
        <v>45.58992</v>
      </c>
      <c r="G74" s="391">
        <f>(K61*0.6+L61*0.4)*AB96/1000</f>
        <v>63.4620446384978</v>
      </c>
      <c r="H74" s="51"/>
      <c r="I74" s="182" t="s">
        <v>14</v>
      </c>
      <c r="J74" s="272">
        <f t="shared" ref="J74:J79" si="48">(H61*0.6+I61*0.4)*Z96/1000</f>
        <v>45.58992</v>
      </c>
      <c r="BM74" s="241"/>
      <c r="BN74" s="241"/>
      <c r="BO74" s="241"/>
      <c r="BP74" s="241"/>
      <c r="BQ74" s="241"/>
      <c r="BR74" s="241"/>
      <c r="BS74" s="241"/>
      <c r="BZ74" s="173" t="s">
        <v>109</v>
      </c>
      <c r="CA74" s="379">
        <v>52.8521400000001</v>
      </c>
      <c r="CB74" s="241">
        <v>85.3723199999997</v>
      </c>
      <c r="CC74" s="382">
        <v>109.9662</v>
      </c>
      <c r="CD74" s="241">
        <v>106.159486903488</v>
      </c>
      <c r="CE74" s="382">
        <v>137.329848460861</v>
      </c>
    </row>
    <row r="75" spans="4:83">
      <c r="D75" s="182" t="s">
        <v>7</v>
      </c>
      <c r="E75" s="389">
        <f t="shared" si="46"/>
        <v>347.9875</v>
      </c>
      <c r="F75" s="390">
        <f t="shared" si="47"/>
        <v>1675.02088</v>
      </c>
      <c r="G75" s="391">
        <f t="shared" ref="G74:G80" si="49">(K62*0.6+L62*0.4)*AB97/1000</f>
        <v>1771.47995106709</v>
      </c>
      <c r="H75" s="51"/>
      <c r="I75" s="182" t="s">
        <v>7</v>
      </c>
      <c r="J75" s="272">
        <f t="shared" si="48"/>
        <v>1675.02088</v>
      </c>
      <c r="BM75" s="241"/>
      <c r="BN75" s="241"/>
      <c r="BO75" s="241"/>
      <c r="BP75" s="241"/>
      <c r="BQ75" s="241"/>
      <c r="BR75" s="241"/>
      <c r="BS75" s="241"/>
      <c r="BZ75" s="173"/>
      <c r="CA75" s="379">
        <v>-4.23096000000002</v>
      </c>
      <c r="CB75" s="241">
        <v>-6.05945999999999</v>
      </c>
      <c r="CC75" s="382">
        <v>-6.34031999999999</v>
      </c>
      <c r="CD75" s="241">
        <v>-9.43383167088159</v>
      </c>
      <c r="CE75" s="382">
        <v>-14.1415879402092</v>
      </c>
    </row>
    <row r="76" spans="4:83">
      <c r="D76" s="182" t="s">
        <v>9</v>
      </c>
      <c r="E76" s="389">
        <f t="shared" si="46"/>
        <v>2.96922</v>
      </c>
      <c r="F76" s="390">
        <f t="shared" si="47"/>
        <v>5.5506</v>
      </c>
      <c r="G76" s="391">
        <f t="shared" si="49"/>
        <v>9.94336197434975</v>
      </c>
      <c r="H76" s="51"/>
      <c r="I76" s="182" t="s">
        <v>9</v>
      </c>
      <c r="J76" s="272">
        <f t="shared" si="48"/>
        <v>5.5506</v>
      </c>
      <c r="BM76" s="241"/>
      <c r="BN76" s="241"/>
      <c r="BO76" s="241"/>
      <c r="BP76" s="241"/>
      <c r="BQ76" s="241"/>
      <c r="BR76" s="241"/>
      <c r="BS76" s="241"/>
      <c r="BZ76" s="173"/>
      <c r="CA76" s="379">
        <v>241.3845</v>
      </c>
      <c r="CB76" s="241">
        <v>496.89234</v>
      </c>
      <c r="CC76" s="382">
        <v>1170.99876</v>
      </c>
      <c r="CD76" s="241">
        <v>642.715115394671</v>
      </c>
      <c r="CE76" s="382">
        <v>1310.63203522849</v>
      </c>
    </row>
    <row r="77" spans="4:83">
      <c r="D77" s="182" t="s">
        <v>10</v>
      </c>
      <c r="E77" s="389">
        <f t="shared" si="46"/>
        <v>483.14448</v>
      </c>
      <c r="F77" s="390">
        <f t="shared" si="47"/>
        <v>2754.32796</v>
      </c>
      <c r="G77" s="391">
        <f t="shared" si="49"/>
        <v>2786.88649061018</v>
      </c>
      <c r="H77" s="51"/>
      <c r="I77" s="182" t="s">
        <v>10</v>
      </c>
      <c r="J77" s="272">
        <f t="shared" si="48"/>
        <v>2754.32796</v>
      </c>
      <c r="BM77" s="241"/>
      <c r="BN77" s="241"/>
      <c r="BO77" s="241"/>
      <c r="BP77" s="241"/>
      <c r="BQ77" s="241"/>
      <c r="BR77" s="241"/>
      <c r="BS77" s="241"/>
      <c r="BZ77" s="173"/>
      <c r="CA77" s="379">
        <v>0.639000000000003</v>
      </c>
      <c r="CB77" s="241">
        <v>0.869399999999999</v>
      </c>
      <c r="CC77" s="382">
        <v>1.21104</v>
      </c>
      <c r="CD77" s="241">
        <v>1.21428073106016</v>
      </c>
      <c r="CE77" s="382">
        <v>2.90474073948324</v>
      </c>
    </row>
    <row r="78" spans="4:83">
      <c r="D78" s="251" t="s">
        <v>11</v>
      </c>
      <c r="E78" s="389">
        <f t="shared" si="46"/>
        <v>69.94026</v>
      </c>
      <c r="F78" s="390">
        <f t="shared" si="47"/>
        <v>445.8792</v>
      </c>
      <c r="G78" s="391">
        <f t="shared" si="49"/>
        <v>537.472020081999</v>
      </c>
      <c r="H78" s="51"/>
      <c r="I78" s="251" t="s">
        <v>11</v>
      </c>
      <c r="J78" s="272">
        <f t="shared" si="48"/>
        <v>445.8792</v>
      </c>
      <c r="BM78" s="241"/>
      <c r="BN78" s="241"/>
      <c r="BO78" s="241"/>
      <c r="BP78" s="241"/>
      <c r="BQ78" s="241"/>
      <c r="BR78" s="241"/>
      <c r="BS78" s="241"/>
      <c r="BZ78" s="173"/>
      <c r="CA78" s="379">
        <v>33.0355200000004</v>
      </c>
      <c r="CB78" s="241">
        <v>97.902</v>
      </c>
      <c r="CC78" s="382">
        <v>226.38312</v>
      </c>
      <c r="CD78" s="241">
        <v>95.9362687385924</v>
      </c>
      <c r="CE78" s="382">
        <v>197.233147004589</v>
      </c>
    </row>
    <row r="79" spans="4:83">
      <c r="D79" s="173" t="s">
        <v>8</v>
      </c>
      <c r="E79" s="389">
        <f t="shared" si="46"/>
        <v>202.04288</v>
      </c>
      <c r="F79" s="390">
        <f t="shared" si="47"/>
        <v>203.0496</v>
      </c>
      <c r="G79" s="391">
        <f t="shared" si="49"/>
        <v>210.087385309706</v>
      </c>
      <c r="H79" s="51"/>
      <c r="I79" s="387" t="s">
        <v>8</v>
      </c>
      <c r="J79" s="272">
        <f t="shared" si="48"/>
        <v>203.0496</v>
      </c>
      <c r="BM79" s="241"/>
      <c r="BN79" s="241"/>
      <c r="BO79" s="241"/>
      <c r="BP79" s="241"/>
      <c r="BQ79" s="241"/>
      <c r="BR79" s="241"/>
      <c r="BS79" s="241"/>
      <c r="BZ79" s="173"/>
      <c r="CA79" s="379">
        <v>3.41171999999997</v>
      </c>
      <c r="CB79" s="241">
        <v>8.93952000000007</v>
      </c>
      <c r="CC79" s="382">
        <v>17.1492000000001</v>
      </c>
      <c r="CD79" s="241">
        <v>8.83123288180917</v>
      </c>
      <c r="CE79" s="382">
        <v>25.8908530529072</v>
      </c>
    </row>
    <row r="80" spans="4:83">
      <c r="D80" s="183" t="s">
        <v>85</v>
      </c>
      <c r="E80" s="392">
        <f>(E67*0.6+F67*0.4)*V39/1000</f>
        <v>49.6476370485041</v>
      </c>
      <c r="F80" s="393">
        <f t="shared" si="47"/>
        <v>278.217868786672</v>
      </c>
      <c r="G80" s="391">
        <f t="shared" si="49"/>
        <v>536.308753830223</v>
      </c>
      <c r="H80" s="51"/>
      <c r="BM80" s="241"/>
      <c r="BN80" s="241"/>
      <c r="BO80" s="241"/>
      <c r="BP80" s="241"/>
      <c r="BQ80" s="241"/>
      <c r="BR80" s="241"/>
      <c r="BS80" s="241"/>
      <c r="BZ80" s="173"/>
      <c r="CA80" s="379">
        <v>-1.94688000000014</v>
      </c>
      <c r="CB80" s="241">
        <v>3.04469999999986</v>
      </c>
      <c r="CC80" s="382">
        <v>6.34530000000012</v>
      </c>
      <c r="CD80" s="241">
        <v>-2.66736031647088</v>
      </c>
      <c r="CE80" s="382">
        <v>-3.17420601631477</v>
      </c>
    </row>
    <row r="81" spans="65:83">
      <c r="BM81" s="241"/>
      <c r="BN81" s="241"/>
      <c r="BO81" s="241"/>
      <c r="BP81" s="241"/>
      <c r="BQ81" s="241"/>
      <c r="BR81" s="241"/>
      <c r="BS81" s="241"/>
      <c r="BZ81" s="173"/>
      <c r="CA81" s="379">
        <v>1.93537113580219</v>
      </c>
      <c r="CB81" s="241">
        <v>3.67341675040174</v>
      </c>
      <c r="CC81" s="382">
        <v>10.845527898703</v>
      </c>
      <c r="CD81" s="241">
        <v>5.8863820483798</v>
      </c>
      <c r="CE81" s="382">
        <v>20.9064629002751</v>
      </c>
    </row>
    <row r="82" spans="64:71">
      <c r="BL82" s="176"/>
      <c r="BM82" s="297"/>
      <c r="BN82" s="297"/>
      <c r="BO82" s="297"/>
      <c r="BP82" s="297"/>
      <c r="BQ82" s="297"/>
      <c r="BR82" s="297"/>
      <c r="BS82" s="297"/>
    </row>
    <row r="83" s="369" customFormat="1" spans="1:99">
      <c r="A83" s="369"/>
      <c r="D83" s="374" t="s">
        <v>6</v>
      </c>
      <c r="E83" s="394">
        <v>750</v>
      </c>
      <c r="F83" s="394">
        <v>990</v>
      </c>
      <c r="G83" s="395">
        <f t="shared" ref="G83:G89" si="50">F83-E83</f>
        <v>240</v>
      </c>
      <c r="H83" s="394"/>
      <c r="I83" s="394"/>
      <c r="N83" s="169">
        <v>320</v>
      </c>
      <c r="O83" s="169">
        <v>450</v>
      </c>
      <c r="P83" s="400">
        <f t="shared" ref="P83:P89" si="51">O83-N83</f>
        <v>130</v>
      </c>
      <c r="BD83" s="178"/>
      <c r="BE83" s="179"/>
      <c r="BF83" s="179"/>
      <c r="BG83" s="179"/>
      <c r="BH83" s="179"/>
      <c r="BI83" s="179"/>
      <c r="BJ83" s="178"/>
      <c r="BK83" s="178"/>
      <c r="BL83" s="176"/>
      <c r="BM83" s="297"/>
      <c r="BN83" s="297"/>
      <c r="BO83" s="297"/>
      <c r="BP83" s="297"/>
      <c r="BQ83" s="297"/>
      <c r="BR83" s="297"/>
      <c r="BS83" s="297"/>
      <c r="CA83" s="434"/>
      <c r="CB83" s="435"/>
      <c r="CC83" s="436"/>
      <c r="CD83" s="435"/>
      <c r="CE83" s="436"/>
      <c r="CQ83" s="437"/>
      <c r="CR83" s="437"/>
      <c r="CS83" s="437"/>
      <c r="CT83" s="437"/>
      <c r="CU83" s="437"/>
    </row>
    <row r="84" s="369" customFormat="1" spans="4:99">
      <c r="D84" s="374" t="s">
        <v>7</v>
      </c>
      <c r="E84" s="394">
        <v>1110</v>
      </c>
      <c r="F84" s="394">
        <v>3460</v>
      </c>
      <c r="G84" s="395">
        <f t="shared" si="50"/>
        <v>2350</v>
      </c>
      <c r="H84" s="394"/>
      <c r="I84" s="394"/>
      <c r="N84" s="171">
        <v>300</v>
      </c>
      <c r="O84" s="171">
        <v>240</v>
      </c>
      <c r="P84" s="400">
        <f t="shared" si="51"/>
        <v>-60</v>
      </c>
      <c r="BD84" s="178"/>
      <c r="BE84" s="179"/>
      <c r="BF84" s="179"/>
      <c r="BG84" s="179"/>
      <c r="BH84" s="179"/>
      <c r="BI84" s="179"/>
      <c r="BJ84" s="178"/>
      <c r="BK84" s="178"/>
      <c r="BL84" s="176"/>
      <c r="BM84" s="297"/>
      <c r="BN84" s="297"/>
      <c r="BO84" s="297"/>
      <c r="BP84" s="297"/>
      <c r="BQ84" s="297"/>
      <c r="BR84" s="297"/>
      <c r="BS84" s="297"/>
      <c r="CA84" s="434"/>
      <c r="CB84" s="435"/>
      <c r="CC84" s="436"/>
      <c r="CD84" s="435"/>
      <c r="CE84" s="436"/>
      <c r="CQ84" s="437"/>
      <c r="CR84" s="437"/>
      <c r="CS84" s="437"/>
      <c r="CT84" s="437"/>
      <c r="CU84" s="437"/>
    </row>
    <row r="85" s="369" customFormat="1" spans="4:99">
      <c r="D85" s="374" t="s">
        <v>8</v>
      </c>
      <c r="E85" s="394">
        <v>1880</v>
      </c>
      <c r="F85" s="394">
        <v>1850</v>
      </c>
      <c r="G85" s="395">
        <f t="shared" si="50"/>
        <v>-30</v>
      </c>
      <c r="H85" s="394"/>
      <c r="I85" s="394"/>
      <c r="N85" s="169">
        <v>440</v>
      </c>
      <c r="O85" s="169">
        <v>1440</v>
      </c>
      <c r="P85" s="400">
        <f t="shared" si="51"/>
        <v>1000</v>
      </c>
      <c r="BD85" s="178"/>
      <c r="BE85" s="179"/>
      <c r="BF85" s="179"/>
      <c r="BG85" s="179"/>
      <c r="BH85" s="179"/>
      <c r="BI85" s="179"/>
      <c r="BJ85" s="178"/>
      <c r="BK85" s="178"/>
      <c r="BL85" s="176"/>
      <c r="BM85" s="297"/>
      <c r="BN85" s="297"/>
      <c r="BO85" s="297"/>
      <c r="BP85" s="297"/>
      <c r="BQ85" s="297"/>
      <c r="BR85" s="297"/>
      <c r="BS85" s="297"/>
      <c r="CA85" s="434"/>
      <c r="CB85" s="435"/>
      <c r="CC85" s="436"/>
      <c r="CD85" s="435"/>
      <c r="CE85" s="436"/>
      <c r="CQ85" s="437"/>
      <c r="CR85" s="437"/>
      <c r="CS85" s="437"/>
      <c r="CT85" s="437"/>
      <c r="CU85" s="437"/>
    </row>
    <row r="86" s="369" customFormat="1" spans="4:99">
      <c r="D86" s="374" t="s">
        <v>9</v>
      </c>
      <c r="E86" s="394">
        <v>1250</v>
      </c>
      <c r="F86" s="394">
        <v>1610</v>
      </c>
      <c r="G86" s="395">
        <f t="shared" si="50"/>
        <v>360</v>
      </c>
      <c r="H86" s="394"/>
      <c r="I86" s="394"/>
      <c r="N86" s="169">
        <v>460</v>
      </c>
      <c r="O86" s="169">
        <v>580</v>
      </c>
      <c r="P86" s="400">
        <f t="shared" si="51"/>
        <v>120</v>
      </c>
      <c r="BD86" s="178"/>
      <c r="BE86" s="179"/>
      <c r="BF86" s="179"/>
      <c r="BG86" s="179"/>
      <c r="BH86" s="179"/>
      <c r="BI86" s="179"/>
      <c r="BJ86" s="178"/>
      <c r="BK86" s="178"/>
      <c r="BL86" s="176"/>
      <c r="BM86" s="297"/>
      <c r="BN86" s="297"/>
      <c r="BO86" s="297"/>
      <c r="BP86" s="297"/>
      <c r="BQ86" s="297"/>
      <c r="BR86" s="297"/>
      <c r="BS86" s="297"/>
      <c r="CA86" s="434"/>
      <c r="CB86" s="435"/>
      <c r="CC86" s="436"/>
      <c r="CD86" s="435"/>
      <c r="CE86" s="436"/>
      <c r="CQ86" s="437"/>
      <c r="CR86" s="437"/>
      <c r="CS86" s="437"/>
      <c r="CT86" s="437"/>
      <c r="CU86" s="437"/>
    </row>
    <row r="87" s="369" customFormat="1" spans="4:99">
      <c r="D87" s="374" t="s">
        <v>10</v>
      </c>
      <c r="E87" s="394">
        <v>670</v>
      </c>
      <c r="F87" s="394">
        <v>750</v>
      </c>
      <c r="G87" s="395">
        <f t="shared" si="50"/>
        <v>80</v>
      </c>
      <c r="H87" s="394"/>
      <c r="I87" s="394"/>
      <c r="N87" s="169">
        <v>270</v>
      </c>
      <c r="O87" s="169">
        <v>300</v>
      </c>
      <c r="P87" s="400">
        <f t="shared" si="51"/>
        <v>30</v>
      </c>
      <c r="BD87" s="178"/>
      <c r="BE87" s="179"/>
      <c r="BF87" s="179"/>
      <c r="BG87" s="179"/>
      <c r="BH87" s="179"/>
      <c r="BI87" s="179"/>
      <c r="BJ87" s="178"/>
      <c r="BK87" s="178"/>
      <c r="BL87" s="176"/>
      <c r="BM87" s="297"/>
      <c r="BN87" s="297"/>
      <c r="BO87" s="297"/>
      <c r="BP87" s="297"/>
      <c r="BQ87" s="297"/>
      <c r="BR87" s="297"/>
      <c r="BS87" s="297"/>
      <c r="CA87" s="434"/>
      <c r="CB87" s="435"/>
      <c r="CC87" s="436"/>
      <c r="CD87" s="435"/>
      <c r="CE87" s="436"/>
      <c r="CQ87" s="437"/>
      <c r="CR87" s="437"/>
      <c r="CS87" s="437"/>
      <c r="CT87" s="437"/>
      <c r="CU87" s="437"/>
    </row>
    <row r="88" s="369" customFormat="1" spans="4:99">
      <c r="D88" s="374" t="s">
        <v>11</v>
      </c>
      <c r="E88" s="394">
        <v>710</v>
      </c>
      <c r="F88" s="394">
        <v>780</v>
      </c>
      <c r="G88" s="395">
        <f t="shared" si="50"/>
        <v>70</v>
      </c>
      <c r="H88" s="394"/>
      <c r="I88" s="394"/>
      <c r="N88" s="169">
        <v>280</v>
      </c>
      <c r="O88" s="169">
        <v>300</v>
      </c>
      <c r="P88" s="400">
        <f t="shared" si="51"/>
        <v>20</v>
      </c>
      <c r="BD88" s="178"/>
      <c r="BE88" s="179"/>
      <c r="BF88" s="179"/>
      <c r="BG88" s="179"/>
      <c r="BH88" s="179"/>
      <c r="BI88" s="179"/>
      <c r="BJ88" s="178"/>
      <c r="BK88" s="178"/>
      <c r="BL88" s="176"/>
      <c r="BM88" s="297"/>
      <c r="BN88" s="297"/>
      <c r="BO88" s="297"/>
      <c r="BP88" s="297"/>
      <c r="BQ88" s="297"/>
      <c r="BR88" s="297"/>
      <c r="BS88" s="297"/>
      <c r="CA88" s="434"/>
      <c r="CB88" s="435"/>
      <c r="CC88" s="436"/>
      <c r="CD88" s="435"/>
      <c r="CE88" s="436"/>
      <c r="CQ88" s="437"/>
      <c r="CR88" s="437"/>
      <c r="CS88" s="437"/>
      <c r="CT88" s="437"/>
      <c r="CU88" s="437"/>
    </row>
    <row r="89" s="369" customFormat="1" spans="4:99">
      <c r="D89" s="376" t="s">
        <v>14</v>
      </c>
      <c r="E89" s="396">
        <v>730</v>
      </c>
      <c r="F89" s="396">
        <v>560</v>
      </c>
      <c r="G89" s="395">
        <f t="shared" si="50"/>
        <v>-170</v>
      </c>
      <c r="H89" s="396"/>
      <c r="I89" s="396"/>
      <c r="N89" s="169">
        <v>880</v>
      </c>
      <c r="O89" s="169">
        <v>940</v>
      </c>
      <c r="P89" s="400">
        <f t="shared" si="51"/>
        <v>60</v>
      </c>
      <c r="BD89" s="178"/>
      <c r="BE89" s="179"/>
      <c r="BF89" s="179"/>
      <c r="BG89" s="179"/>
      <c r="BH89" s="179"/>
      <c r="BI89" s="179"/>
      <c r="BJ89" s="178"/>
      <c r="BK89" s="178"/>
      <c r="BL89" s="176"/>
      <c r="BM89" s="297"/>
      <c r="BN89" s="297"/>
      <c r="BO89" s="297"/>
      <c r="BP89" s="297"/>
      <c r="BQ89" s="297"/>
      <c r="BR89" s="297"/>
      <c r="BS89" s="297"/>
      <c r="CA89" s="434"/>
      <c r="CB89" s="435"/>
      <c r="CC89" s="436"/>
      <c r="CD89" s="435"/>
      <c r="CE89" s="436"/>
      <c r="CQ89" s="437"/>
      <c r="CR89" s="437"/>
      <c r="CS89" s="437"/>
      <c r="CT89" s="437"/>
      <c r="CU89" s="437"/>
    </row>
    <row r="90" spans="64:71">
      <c r="BL90" s="176"/>
      <c r="BM90" s="297"/>
      <c r="BN90" s="297"/>
      <c r="BO90" s="297"/>
      <c r="BP90" s="297"/>
      <c r="BQ90" s="297"/>
      <c r="BR90" s="297"/>
      <c r="BS90" s="297"/>
    </row>
    <row r="91" spans="64:71">
      <c r="BL91" s="176"/>
      <c r="BM91" s="297"/>
      <c r="BN91" s="297"/>
      <c r="BO91" s="297"/>
      <c r="BP91" s="297"/>
      <c r="BQ91" s="297"/>
      <c r="BR91" s="297"/>
      <c r="BS91" s="297"/>
    </row>
    <row r="92" spans="22:71">
      <c r="V92" s="177" t="s">
        <v>129</v>
      </c>
      <c r="W92" s="177"/>
      <c r="X92" s="177"/>
      <c r="Y92" s="177"/>
      <c r="Z92" s="177"/>
      <c r="AA92" s="177"/>
      <c r="AB92" s="177"/>
      <c r="AH92" s="432"/>
      <c r="AI92" s="432"/>
      <c r="AJ92" s="432"/>
      <c r="AK92" s="177" t="s">
        <v>130</v>
      </c>
      <c r="AL92" s="177"/>
      <c r="AM92" s="177"/>
      <c r="AN92" s="177"/>
      <c r="AO92" s="177"/>
      <c r="AP92" s="177"/>
      <c r="AQ92" s="177"/>
      <c r="BM92" s="241"/>
      <c r="BN92" s="241"/>
      <c r="BO92" s="241"/>
      <c r="BP92" s="241"/>
      <c r="BQ92" s="241"/>
      <c r="BR92" s="241"/>
      <c r="BS92" s="241"/>
    </row>
    <row r="93" ht="18.5" spans="4:71">
      <c r="D93" t="s">
        <v>103</v>
      </c>
      <c r="I93" s="281"/>
      <c r="J93" s="282" t="s">
        <v>131</v>
      </c>
      <c r="K93" s="282"/>
      <c r="L93" s="282"/>
      <c r="M93" s="282"/>
      <c r="N93" s="282"/>
      <c r="O93" s="282"/>
      <c r="BM93" s="241"/>
      <c r="BN93" s="241"/>
      <c r="BO93" s="241"/>
      <c r="BP93" s="241"/>
      <c r="BQ93" s="241"/>
      <c r="BR93" s="241"/>
      <c r="BS93" s="241"/>
    </row>
    <row r="94" spans="4:71">
      <c r="D94" s="182" t="s">
        <v>6</v>
      </c>
      <c r="E94" s="397">
        <f>(E60*0.5+F60*0.5)*X95/1000-E73</f>
        <v>6.40632000000002</v>
      </c>
      <c r="F94" s="398">
        <f>(H60*0.5+I60*0.5)*Z95/1000-F73</f>
        <v>14.0153</v>
      </c>
      <c r="G94" s="398">
        <f>(K60*0.5+L60*0.5)*AB95/1000-G73</f>
        <v>14.1323948859385</v>
      </c>
      <c r="I94" s="401" t="s">
        <v>6</v>
      </c>
      <c r="J94" s="284">
        <f>F144</f>
        <v>84.0917999999998</v>
      </c>
      <c r="K94" s="284">
        <f>F134</f>
        <v>70.0764999999998</v>
      </c>
      <c r="L94" s="284">
        <f>F124</f>
        <v>56.0611999999999</v>
      </c>
      <c r="M94" s="284">
        <f>F114</f>
        <v>42.0458999999999</v>
      </c>
      <c r="N94" s="284">
        <f>F104</f>
        <v>28.0305999999999</v>
      </c>
      <c r="O94" s="402">
        <f>F94</f>
        <v>14.0153</v>
      </c>
      <c r="V94" s="13" t="s">
        <v>95</v>
      </c>
      <c r="W94" s="13"/>
      <c r="X94" s="13">
        <v>2023</v>
      </c>
      <c r="Y94" s="13" t="s">
        <v>90</v>
      </c>
      <c r="Z94" s="13" t="s">
        <v>96</v>
      </c>
      <c r="AA94" s="13" t="s">
        <v>20</v>
      </c>
      <c r="AB94" s="13" t="s">
        <v>21</v>
      </c>
      <c r="AC94" s="13"/>
      <c r="AD94" s="13"/>
      <c r="AK94" s="13" t="s">
        <v>95</v>
      </c>
      <c r="AL94" s="13"/>
      <c r="AM94" s="13">
        <v>2023</v>
      </c>
      <c r="AN94" s="13" t="s">
        <v>90</v>
      </c>
      <c r="AO94" s="13" t="s">
        <v>96</v>
      </c>
      <c r="AP94" s="13" t="s">
        <v>20</v>
      </c>
      <c r="AQ94" s="13" t="s">
        <v>21</v>
      </c>
      <c r="BM94" s="241"/>
      <c r="BN94" s="241"/>
      <c r="BO94" s="241"/>
      <c r="BP94" s="241"/>
      <c r="BQ94" s="241"/>
      <c r="BR94" s="241"/>
      <c r="BS94" s="241"/>
    </row>
    <row r="95" spans="4:71">
      <c r="D95" s="182" t="s">
        <v>14</v>
      </c>
      <c r="E95" s="397">
        <f t="shared" ref="E95:E101" si="52">(E61*0.5+F61*0.5)*X96/1000-E74</f>
        <v>-0.705159999999999</v>
      </c>
      <c r="F95" s="398">
        <f t="shared" ref="F95:F101" si="53">(H61*0.5+I61*0.5)*Z96/1000-F74</f>
        <v>-1.05672</v>
      </c>
      <c r="G95" s="398">
        <f t="shared" ref="G95:G101" si="54">(K61*0.5+L61*0.5)*AB96/1000-G74</f>
        <v>-1.470974544601</v>
      </c>
      <c r="I95" s="401" t="s">
        <v>7</v>
      </c>
      <c r="J95" s="284">
        <f>F146</f>
        <v>1148.26092</v>
      </c>
      <c r="K95" s="284">
        <f>F136</f>
        <v>956.884100000001</v>
      </c>
      <c r="L95" s="284">
        <f>F126</f>
        <v>765.507280000001</v>
      </c>
      <c r="M95" s="284">
        <f>F116</f>
        <v>574.130460000001</v>
      </c>
      <c r="N95" s="284">
        <f>F106</f>
        <v>382.75364</v>
      </c>
      <c r="O95" s="402">
        <f>F96</f>
        <v>191.37682</v>
      </c>
      <c r="Q95" s="176"/>
      <c r="R95" s="176"/>
      <c r="S95" s="176"/>
      <c r="T95" s="176"/>
      <c r="U95" s="176"/>
      <c r="V95" s="13"/>
      <c r="W95" s="183" t="s">
        <v>6</v>
      </c>
      <c r="X95" s="413">
        <f>V19</f>
        <v>266.93</v>
      </c>
      <c r="Y95" s="413">
        <f>X19</f>
        <v>646.76</v>
      </c>
      <c r="Z95" s="413">
        <f>AB19</f>
        <v>1078.1</v>
      </c>
      <c r="AA95" s="413">
        <f>AD19</f>
        <v>746.62</v>
      </c>
      <c r="AB95" s="413">
        <f>AH19</f>
        <v>1091.41</v>
      </c>
      <c r="AC95" s="13"/>
      <c r="AD95" s="13"/>
      <c r="AK95" s="13"/>
      <c r="AL95" s="183" t="s">
        <v>6</v>
      </c>
      <c r="AM95" s="413">
        <v>266.93</v>
      </c>
      <c r="AN95" s="413">
        <v>646.76</v>
      </c>
      <c r="AO95" s="413">
        <v>1078.1</v>
      </c>
      <c r="AP95" s="413">
        <v>746.62</v>
      </c>
      <c r="AQ95" s="413">
        <v>1091.41</v>
      </c>
      <c r="BM95" s="241"/>
      <c r="BN95" s="241"/>
      <c r="BO95" s="241"/>
      <c r="BP95" s="241"/>
      <c r="BQ95" s="241"/>
      <c r="BR95" s="241"/>
      <c r="BS95" s="241"/>
    </row>
    <row r="96" spans="4:71">
      <c r="D96" s="182" t="s">
        <v>7</v>
      </c>
      <c r="E96" s="397">
        <f t="shared" si="52"/>
        <v>39.89125</v>
      </c>
      <c r="F96" s="398">
        <f t="shared" si="53"/>
        <v>191.37682</v>
      </c>
      <c r="G96" s="398">
        <f t="shared" si="54"/>
        <v>202.397596219206</v>
      </c>
      <c r="I96" s="403" t="s">
        <v>8</v>
      </c>
      <c r="J96" s="284">
        <f>F150</f>
        <v>6.34530000000012</v>
      </c>
      <c r="K96" s="284">
        <f>F140</f>
        <v>5.2877500000001</v>
      </c>
      <c r="L96" s="284">
        <f>F130</f>
        <v>4.23020000000008</v>
      </c>
      <c r="M96" s="284">
        <f>F120</f>
        <v>3.17265000000006</v>
      </c>
      <c r="N96" s="284">
        <f>F110</f>
        <v>2.11510000000004</v>
      </c>
      <c r="O96" s="402">
        <f>F100</f>
        <v>1.05755000000002</v>
      </c>
      <c r="Q96" s="176"/>
      <c r="R96" s="176"/>
      <c r="S96" s="176"/>
      <c r="T96" s="176"/>
      <c r="U96" s="176"/>
      <c r="V96" s="13"/>
      <c r="W96" s="183" t="s">
        <v>14</v>
      </c>
      <c r="X96" s="413">
        <f>V13</f>
        <v>41.48</v>
      </c>
      <c r="Y96" s="413">
        <f>X13</f>
        <v>91.81</v>
      </c>
      <c r="Z96" s="413">
        <f>AB13</f>
        <v>150.96</v>
      </c>
      <c r="AA96" s="413">
        <f>AD13</f>
        <v>135.34</v>
      </c>
      <c r="AB96" s="413">
        <f>AH13</f>
        <v>245.87</v>
      </c>
      <c r="AC96" s="13"/>
      <c r="AD96" s="13"/>
      <c r="AK96" s="13"/>
      <c r="AL96" s="183" t="s">
        <v>14</v>
      </c>
      <c r="AM96" s="413">
        <v>41.48</v>
      </c>
      <c r="AN96" s="413">
        <v>91.81</v>
      </c>
      <c r="AO96" s="413">
        <v>150.96</v>
      </c>
      <c r="AP96" s="413">
        <v>135.34</v>
      </c>
      <c r="AQ96" s="413">
        <v>245.87</v>
      </c>
      <c r="BM96" s="241"/>
      <c r="BN96" s="241"/>
      <c r="BO96" s="241"/>
      <c r="BP96" s="241"/>
      <c r="BQ96" s="241"/>
      <c r="BR96" s="241"/>
      <c r="BS96" s="241"/>
    </row>
    <row r="97" spans="4:71">
      <c r="D97" s="182" t="s">
        <v>9</v>
      </c>
      <c r="E97" s="397">
        <f t="shared" si="52"/>
        <v>0.0766799999999996</v>
      </c>
      <c r="F97" s="398">
        <f t="shared" si="53"/>
        <v>0.1682</v>
      </c>
      <c r="G97" s="398">
        <f t="shared" si="54"/>
        <v>0.301313999222725</v>
      </c>
      <c r="I97" s="401" t="s">
        <v>9</v>
      </c>
      <c r="J97" s="284">
        <f>F147</f>
        <v>1.0092</v>
      </c>
      <c r="K97" s="284">
        <f>F137</f>
        <v>0.840999999999998</v>
      </c>
      <c r="L97" s="284">
        <f>F127</f>
        <v>0.672799999999999</v>
      </c>
      <c r="M97" s="284">
        <f>F117</f>
        <v>0.504599999999999</v>
      </c>
      <c r="N97" s="284">
        <f>F107</f>
        <v>0.336399999999999</v>
      </c>
      <c r="O97" s="402">
        <f>F97</f>
        <v>0.1682</v>
      </c>
      <c r="Q97" s="176"/>
      <c r="R97" s="176"/>
      <c r="S97" s="176"/>
      <c r="T97" s="176"/>
      <c r="U97" s="176"/>
      <c r="V97" s="13"/>
      <c r="W97" s="183" t="s">
        <v>7</v>
      </c>
      <c r="X97" s="413">
        <f>V6</f>
        <v>169.75</v>
      </c>
      <c r="Y97" s="413">
        <f>X6</f>
        <v>563.37</v>
      </c>
      <c r="Z97" s="413">
        <f>AB6</f>
        <v>1894.82</v>
      </c>
      <c r="AA97" s="413">
        <f>AD6</f>
        <v>719.52</v>
      </c>
      <c r="AB97" s="413">
        <f>AH6</f>
        <v>2057.92</v>
      </c>
      <c r="AC97" s="13"/>
      <c r="AD97" s="13"/>
      <c r="AK97" s="13"/>
      <c r="AL97" s="183" t="s">
        <v>7</v>
      </c>
      <c r="AM97" s="413">
        <v>169.75</v>
      </c>
      <c r="AN97" s="413">
        <v>563.37</v>
      </c>
      <c r="AO97" s="413">
        <v>1894.82</v>
      </c>
      <c r="AP97" s="413">
        <v>719.52</v>
      </c>
      <c r="AQ97" s="413">
        <v>2057.92</v>
      </c>
      <c r="BM97" s="241"/>
      <c r="BN97" s="241"/>
      <c r="BO97" s="241"/>
      <c r="BP97" s="241"/>
      <c r="BQ97" s="241"/>
      <c r="BR97" s="241"/>
      <c r="BS97" s="241"/>
    </row>
    <row r="98" spans="4:71">
      <c r="D98" s="182" t="s">
        <v>10</v>
      </c>
      <c r="E98" s="397">
        <f t="shared" si="52"/>
        <v>5.50592000000006</v>
      </c>
      <c r="F98" s="398">
        <f t="shared" si="53"/>
        <v>28.2978899999994</v>
      </c>
      <c r="G98" s="398">
        <f t="shared" si="54"/>
        <v>28.632395451476</v>
      </c>
      <c r="I98" s="401" t="s">
        <v>10</v>
      </c>
      <c r="J98" s="284">
        <f>F148</f>
        <v>169.787339999996</v>
      </c>
      <c r="K98" s="284">
        <f>F138</f>
        <v>141.489449999997</v>
      </c>
      <c r="L98" s="284">
        <f>F128</f>
        <v>113.191559999997</v>
      </c>
      <c r="M98" s="284">
        <f>F118</f>
        <v>84.8936699999981</v>
      </c>
      <c r="N98" s="284">
        <f>F108</f>
        <v>56.5957799999987</v>
      </c>
      <c r="O98" s="402">
        <f>F98</f>
        <v>28.2978899999994</v>
      </c>
      <c r="Q98" s="176"/>
      <c r="R98" s="176"/>
      <c r="S98" s="176"/>
      <c r="T98" s="176"/>
      <c r="U98" s="176"/>
      <c r="V98" s="13"/>
      <c r="W98" s="183" t="s">
        <v>9</v>
      </c>
      <c r="X98" s="413">
        <f>V25</f>
        <v>2.13</v>
      </c>
      <c r="Y98" s="413">
        <f>X25</f>
        <v>4.14</v>
      </c>
      <c r="Z98" s="413">
        <f>AB25</f>
        <v>8.41</v>
      </c>
      <c r="AA98" s="413">
        <f>AD25</f>
        <v>5.49</v>
      </c>
      <c r="AB98" s="413">
        <f>AH25</f>
        <v>19.87</v>
      </c>
      <c r="AC98" s="13"/>
      <c r="AD98" s="13"/>
      <c r="AK98" s="13"/>
      <c r="AL98" s="183" t="s">
        <v>9</v>
      </c>
      <c r="AM98" s="413">
        <v>2.13</v>
      </c>
      <c r="AN98" s="413">
        <v>4.14</v>
      </c>
      <c r="AO98" s="413">
        <v>8.41</v>
      </c>
      <c r="AP98" s="413">
        <v>5.49</v>
      </c>
      <c r="AQ98" s="413">
        <v>19.87</v>
      </c>
      <c r="BM98" s="241"/>
      <c r="BN98" s="241"/>
      <c r="BO98" s="241"/>
      <c r="BP98" s="241"/>
      <c r="BQ98" s="241"/>
      <c r="BR98" s="241"/>
      <c r="BS98" s="241"/>
    </row>
    <row r="99" spans="4:71">
      <c r="D99" s="251" t="s">
        <v>11</v>
      </c>
      <c r="E99" s="397">
        <f t="shared" si="52"/>
        <v>0.663389999999993</v>
      </c>
      <c r="F99" s="398">
        <f t="shared" si="53"/>
        <v>4.28730000000002</v>
      </c>
      <c r="G99" s="398">
        <f t="shared" si="54"/>
        <v>5.16800019309699</v>
      </c>
      <c r="I99" s="401" t="s">
        <v>11</v>
      </c>
      <c r="J99" s="284">
        <f>F149</f>
        <v>25.7238000000001</v>
      </c>
      <c r="K99" s="284">
        <f>F139</f>
        <v>21.4365000000001</v>
      </c>
      <c r="L99" s="284">
        <f>F129</f>
        <v>17.1492000000001</v>
      </c>
      <c r="M99" s="284">
        <f>F119</f>
        <v>12.8619</v>
      </c>
      <c r="N99" s="284">
        <f>F109</f>
        <v>8.57460000000003</v>
      </c>
      <c r="O99" s="402">
        <f>F99</f>
        <v>4.28730000000002</v>
      </c>
      <c r="Q99" s="176"/>
      <c r="R99" s="176"/>
      <c r="S99" s="176"/>
      <c r="T99" s="176"/>
      <c r="U99" s="176"/>
      <c r="V99" s="13"/>
      <c r="W99" s="183" t="s">
        <v>10</v>
      </c>
      <c r="X99" s="413">
        <f>V31</f>
        <v>688.24</v>
      </c>
      <c r="Y99" s="413">
        <f>X31</f>
        <v>3263.4</v>
      </c>
      <c r="Z99" s="413">
        <f>AB31</f>
        <v>9432.63</v>
      </c>
      <c r="AA99" s="413">
        <f>AD31</f>
        <v>3315.59</v>
      </c>
      <c r="AB99" s="413">
        <f>AH31</f>
        <v>9597.53</v>
      </c>
      <c r="AC99" s="13"/>
      <c r="AD99" s="13"/>
      <c r="AK99" s="13"/>
      <c r="AL99" s="183" t="s">
        <v>10</v>
      </c>
      <c r="AM99" s="413">
        <v>688.24</v>
      </c>
      <c r="AN99" s="413">
        <v>3263.4</v>
      </c>
      <c r="AO99" s="413">
        <v>9432.63</v>
      </c>
      <c r="AP99" s="413">
        <v>3315.59</v>
      </c>
      <c r="AQ99" s="413">
        <v>9597.53</v>
      </c>
      <c r="BM99" s="241"/>
      <c r="BN99" s="241"/>
      <c r="BO99" s="241"/>
      <c r="BP99" s="241"/>
      <c r="BQ99" s="241"/>
      <c r="BR99" s="241"/>
      <c r="BS99" s="241"/>
    </row>
    <row r="100" spans="4:71">
      <c r="D100" s="173" t="s">
        <v>8</v>
      </c>
      <c r="E100" s="397">
        <f t="shared" si="52"/>
        <v>-0.324479999999994</v>
      </c>
      <c r="F100" s="398">
        <f t="shared" si="53"/>
        <v>1.05755000000002</v>
      </c>
      <c r="G100" s="398">
        <f t="shared" si="54"/>
        <v>1.09420513182138</v>
      </c>
      <c r="I100" s="401" t="s">
        <v>14</v>
      </c>
      <c r="J100" s="284">
        <f>F145</f>
        <v>-6.34031999999999</v>
      </c>
      <c r="K100" s="284">
        <f>F135</f>
        <v>-5.28359999999999</v>
      </c>
      <c r="L100" s="284">
        <f>F125</f>
        <v>-4.22687999999999</v>
      </c>
      <c r="M100" s="284">
        <f>F115</f>
        <v>-3.17016</v>
      </c>
      <c r="N100" s="284">
        <f>F105</f>
        <v>-2.11344</v>
      </c>
      <c r="O100" s="402">
        <f>F95</f>
        <v>-1.05672</v>
      </c>
      <c r="P100" s="404"/>
      <c r="Q100" s="404"/>
      <c r="R100" s="404"/>
      <c r="S100" s="404"/>
      <c r="T100" s="404"/>
      <c r="U100" s="404"/>
      <c r="V100" s="13"/>
      <c r="W100" s="183" t="s">
        <v>11</v>
      </c>
      <c r="X100" s="413">
        <f>V46</f>
        <v>94.77</v>
      </c>
      <c r="Y100" s="413">
        <f>X46</f>
        <v>372.48</v>
      </c>
      <c r="Z100" s="413">
        <f>AB46</f>
        <v>1429.1</v>
      </c>
      <c r="AA100" s="413">
        <f>AD46</f>
        <v>385.32</v>
      </c>
      <c r="AB100" s="413">
        <f>AH46</f>
        <v>1882.45</v>
      </c>
      <c r="AC100" s="13"/>
      <c r="AD100" s="13"/>
      <c r="AK100" s="13"/>
      <c r="AL100" s="183" t="s">
        <v>11</v>
      </c>
      <c r="AM100" s="413">
        <v>94.77</v>
      </c>
      <c r="AN100" s="413">
        <v>372.48</v>
      </c>
      <c r="AO100" s="413">
        <v>1429.1</v>
      </c>
      <c r="AP100" s="413">
        <v>385.32</v>
      </c>
      <c r="AQ100" s="413">
        <v>1882.45</v>
      </c>
      <c r="BM100" s="241"/>
      <c r="BN100" s="241"/>
      <c r="BO100" s="241"/>
      <c r="BP100" s="241"/>
      <c r="BQ100" s="241"/>
      <c r="BR100" s="241"/>
      <c r="BS100" s="241"/>
    </row>
    <row r="101" spans="4:71">
      <c r="D101" s="183" t="s">
        <v>85</v>
      </c>
      <c r="E101" s="397">
        <f t="shared" si="52"/>
        <v>0.322561855967031</v>
      </c>
      <c r="F101" s="398">
        <f t="shared" si="53"/>
        <v>1.80758798311678</v>
      </c>
      <c r="G101" s="398">
        <f t="shared" si="54"/>
        <v>3.48441048337975</v>
      </c>
      <c r="I101" s="401" t="s">
        <v>85</v>
      </c>
      <c r="J101" s="284">
        <f>F151</f>
        <v>10.8455278987007</v>
      </c>
      <c r="K101" s="284">
        <f>F141</f>
        <v>9.03793991558388</v>
      </c>
      <c r="L101" s="284">
        <f>F131</f>
        <v>7.2303519324671</v>
      </c>
      <c r="M101" s="284">
        <f>F121</f>
        <v>5.42276394935033</v>
      </c>
      <c r="N101" s="284">
        <f>F111</f>
        <v>3.61517596623355</v>
      </c>
      <c r="O101" s="402">
        <f>F101</f>
        <v>1.80758798311678</v>
      </c>
      <c r="Q101" s="414"/>
      <c r="R101" s="409"/>
      <c r="S101" s="409"/>
      <c r="T101" s="409"/>
      <c r="U101" s="414"/>
      <c r="V101" s="13"/>
      <c r="W101" s="155" t="s">
        <v>8</v>
      </c>
      <c r="X101" s="413">
        <f>V54</f>
        <v>108.16</v>
      </c>
      <c r="Y101" s="413">
        <f>X54</f>
        <v>169.15</v>
      </c>
      <c r="Z101" s="413">
        <f>AB54</f>
        <v>211.51</v>
      </c>
      <c r="AA101" s="413">
        <f>AD54</f>
        <v>172.08</v>
      </c>
      <c r="AB101" s="413">
        <f>AH54</f>
        <v>222.41</v>
      </c>
      <c r="AC101" s="13"/>
      <c r="AD101" s="13"/>
      <c r="AK101" s="13"/>
      <c r="AL101" s="155" t="s">
        <v>8</v>
      </c>
      <c r="AM101" s="413">
        <v>108.16</v>
      </c>
      <c r="AN101" s="413">
        <v>169.15</v>
      </c>
      <c r="AO101" s="413">
        <v>211.51</v>
      </c>
      <c r="AP101" s="413">
        <v>172.08</v>
      </c>
      <c r="AQ101" s="413">
        <v>222.41</v>
      </c>
      <c r="BM101" s="241"/>
      <c r="BN101" s="241"/>
      <c r="BO101" s="241"/>
      <c r="BP101" s="241"/>
      <c r="BQ101" s="241"/>
      <c r="BR101" s="241"/>
      <c r="BS101" s="241"/>
    </row>
    <row r="102" spans="12:71">
      <c r="L102" s="13"/>
      <c r="M102" s="13"/>
      <c r="N102" s="13"/>
      <c r="Q102" s="414"/>
      <c r="R102" s="409"/>
      <c r="S102" s="409"/>
      <c r="T102" s="409"/>
      <c r="U102" s="414"/>
      <c r="V102" s="13"/>
      <c r="W102" s="183" t="s">
        <v>85</v>
      </c>
      <c r="X102" s="413">
        <f>V39</f>
        <v>32.13</v>
      </c>
      <c r="Y102" s="413">
        <f>X39</f>
        <v>82.67</v>
      </c>
      <c r="Z102" s="413">
        <f>AB39</f>
        <v>408.09</v>
      </c>
      <c r="AA102" s="413">
        <f>AD39</f>
        <v>165.71</v>
      </c>
      <c r="AB102" s="413">
        <f>AH39</f>
        <v>1074.26</v>
      </c>
      <c r="AC102" s="13"/>
      <c r="AD102" s="13"/>
      <c r="AK102" s="13"/>
      <c r="AL102" s="183" t="s">
        <v>85</v>
      </c>
      <c r="AM102" s="413">
        <v>32.13</v>
      </c>
      <c r="AN102" s="413">
        <v>82.67</v>
      </c>
      <c r="AO102" s="413">
        <v>408.09</v>
      </c>
      <c r="AP102" s="413">
        <v>165.71</v>
      </c>
      <c r="AQ102" s="413">
        <v>1074.26</v>
      </c>
      <c r="BM102" s="241"/>
      <c r="BN102" s="241"/>
      <c r="BO102" s="241"/>
      <c r="BP102" s="241"/>
      <c r="BQ102" s="241"/>
      <c r="BR102" s="241"/>
      <c r="BS102" s="241"/>
    </row>
    <row r="103" ht="18.5" spans="10:71">
      <c r="J103" s="282" t="s">
        <v>132</v>
      </c>
      <c r="K103" s="282"/>
      <c r="L103" s="282"/>
      <c r="M103" s="282"/>
      <c r="N103" s="282"/>
      <c r="O103" s="282"/>
      <c r="Q103" s="414"/>
      <c r="R103" s="409"/>
      <c r="S103" s="409"/>
      <c r="T103" s="409"/>
      <c r="U103" s="414"/>
      <c r="V103" s="13"/>
      <c r="W103" s="13"/>
      <c r="X103" s="13"/>
      <c r="Y103" s="13"/>
      <c r="Z103" s="13"/>
      <c r="AA103" s="13"/>
      <c r="AB103" s="13"/>
      <c r="AC103" s="13"/>
      <c r="AD103" s="13"/>
      <c r="AK103" s="13"/>
      <c r="AL103" s="13"/>
      <c r="AT103" s="433"/>
      <c r="BM103" s="241"/>
      <c r="BN103" s="241"/>
      <c r="BO103" s="241"/>
      <c r="BP103" s="241"/>
      <c r="BQ103" s="241"/>
      <c r="BR103" s="241"/>
      <c r="BS103" s="241"/>
    </row>
    <row r="104" spans="4:71">
      <c r="D104" s="173" t="s">
        <v>105</v>
      </c>
      <c r="E104" s="272">
        <f t="shared" ref="E104:G104" si="55">E94*2</f>
        <v>12.81264</v>
      </c>
      <c r="F104" s="272">
        <f t="shared" si="55"/>
        <v>28.0305999999999</v>
      </c>
      <c r="G104" s="272">
        <f t="shared" si="55"/>
        <v>28.2647897718771</v>
      </c>
      <c r="I104" s="401" t="s">
        <v>6</v>
      </c>
      <c r="J104" s="405">
        <f>G144</f>
        <v>84.7943693156312</v>
      </c>
      <c r="K104" s="405">
        <f>G134</f>
        <v>70.6619744296927</v>
      </c>
      <c r="L104" s="405">
        <f>G124</f>
        <v>56.5295795437542</v>
      </c>
      <c r="M104" s="406">
        <f>G114</f>
        <v>42.3971846578156</v>
      </c>
      <c r="N104" s="407">
        <f>G104</f>
        <v>28.2647897718771</v>
      </c>
      <c r="O104" s="408">
        <f>G94</f>
        <v>14.1323948859385</v>
      </c>
      <c r="Q104" s="414"/>
      <c r="R104" s="409"/>
      <c r="S104" s="409"/>
      <c r="T104" s="409"/>
      <c r="U104" s="414"/>
      <c r="V104" s="13"/>
      <c r="W104" s="13"/>
      <c r="X104" s="13"/>
      <c r="Y104" s="13"/>
      <c r="Z104" s="13"/>
      <c r="AA104" s="13"/>
      <c r="AB104" s="13"/>
      <c r="AC104" s="13"/>
      <c r="AD104" s="13"/>
      <c r="AK104" s="13"/>
      <c r="AL104" s="13"/>
      <c r="AT104" s="433"/>
      <c r="BM104" s="241"/>
      <c r="BN104" s="241"/>
      <c r="BO104" s="241"/>
      <c r="BP104" s="241"/>
      <c r="BQ104" s="241"/>
      <c r="BR104" s="241"/>
      <c r="BS104" s="241"/>
    </row>
    <row r="105" spans="4:46">
      <c r="D105" s="173"/>
      <c r="E105" s="272">
        <f t="shared" ref="E105:G105" si="56">E95*2</f>
        <v>-1.41032</v>
      </c>
      <c r="F105" s="272">
        <f t="shared" si="56"/>
        <v>-2.11344</v>
      </c>
      <c r="G105" s="272">
        <f t="shared" si="56"/>
        <v>-2.941949089202</v>
      </c>
      <c r="I105" s="401" t="s">
        <v>7</v>
      </c>
      <c r="J105" s="405">
        <f>G146</f>
        <v>1214.38557731524</v>
      </c>
      <c r="K105" s="405">
        <f>G136</f>
        <v>1011.98798109603</v>
      </c>
      <c r="L105" s="405">
        <f>G126</f>
        <v>809.590384876824</v>
      </c>
      <c r="M105" s="406">
        <f>G116</f>
        <v>607.192788657618</v>
      </c>
      <c r="N105" s="407">
        <f>G106</f>
        <v>404.795192438412</v>
      </c>
      <c r="O105" s="408">
        <f>G96</f>
        <v>202.397596219206</v>
      </c>
      <c r="Q105" s="414"/>
      <c r="R105" s="409"/>
      <c r="S105" s="409"/>
      <c r="T105" s="409"/>
      <c r="U105" s="414"/>
      <c r="V105" s="176"/>
      <c r="W105" s="176"/>
      <c r="X105" s="176"/>
      <c r="Y105" s="176"/>
      <c r="Z105" s="176"/>
      <c r="AA105" s="176"/>
      <c r="AB105" s="176"/>
      <c r="AC105" s="176"/>
      <c r="AD105" s="176"/>
      <c r="AK105" s="176"/>
      <c r="AL105" s="176"/>
      <c r="AM105" s="176"/>
      <c r="AN105" s="176"/>
      <c r="AO105" s="176"/>
      <c r="AP105" s="176"/>
      <c r="AQ105" s="176"/>
      <c r="AR105" s="176"/>
      <c r="AS105" s="176"/>
      <c r="AT105" s="433"/>
    </row>
    <row r="106" spans="4:45">
      <c r="D106" s="173"/>
      <c r="E106" s="272">
        <f t="shared" ref="E106:G106" si="57">E96*2</f>
        <v>79.7825</v>
      </c>
      <c r="F106" s="272">
        <f t="shared" si="57"/>
        <v>382.75364</v>
      </c>
      <c r="G106" s="272">
        <f t="shared" si="57"/>
        <v>404.795192438412</v>
      </c>
      <c r="I106" s="403" t="s">
        <v>8</v>
      </c>
      <c r="J106" s="405">
        <f>G150</f>
        <v>6.5652307909283</v>
      </c>
      <c r="K106" s="405">
        <f>G140</f>
        <v>5.47102565910691</v>
      </c>
      <c r="L106" s="405">
        <f>G130</f>
        <v>4.37682052728553</v>
      </c>
      <c r="M106" s="406">
        <f>G120</f>
        <v>3.28261539546415</v>
      </c>
      <c r="N106" s="407">
        <f>G110</f>
        <v>2.18841026364277</v>
      </c>
      <c r="O106" s="408">
        <f>G100</f>
        <v>1.09420513182138</v>
      </c>
      <c r="Q106" s="414"/>
      <c r="R106" s="409"/>
      <c r="S106" s="409"/>
      <c r="T106" s="409"/>
      <c r="U106" s="414"/>
      <c r="V106" s="415" t="s">
        <v>133</v>
      </c>
      <c r="W106" s="416"/>
      <c r="X106" s="417">
        <v>2023</v>
      </c>
      <c r="Y106" s="417" t="s">
        <v>90</v>
      </c>
      <c r="Z106" s="417" t="s">
        <v>96</v>
      </c>
      <c r="AA106" s="417" t="s">
        <v>20</v>
      </c>
      <c r="AB106" s="417" t="s">
        <v>21</v>
      </c>
      <c r="AC106" s="176"/>
      <c r="AD106" s="176"/>
      <c r="AK106" s="415"/>
      <c r="AL106" s="416"/>
      <c r="AM106" s="417"/>
      <c r="AN106" s="417"/>
      <c r="AO106" s="417"/>
      <c r="AP106" s="417"/>
      <c r="AQ106" s="417"/>
      <c r="AR106" s="176"/>
      <c r="AS106" s="176"/>
    </row>
    <row r="107" spans="4:45">
      <c r="D107" s="173"/>
      <c r="E107" s="272">
        <f t="shared" ref="E107:G107" si="58">E97*2</f>
        <v>0.153359999999999</v>
      </c>
      <c r="F107" s="272">
        <f t="shared" si="58"/>
        <v>0.336399999999999</v>
      </c>
      <c r="G107" s="272">
        <f t="shared" si="58"/>
        <v>0.602627998445449</v>
      </c>
      <c r="I107" s="401" t="s">
        <v>9</v>
      </c>
      <c r="J107" s="405">
        <f>G147</f>
        <v>1.80788399533635</v>
      </c>
      <c r="K107" s="405">
        <f>G137</f>
        <v>1.50656999611362</v>
      </c>
      <c r="L107" s="405">
        <f>G127</f>
        <v>1.2052559968909</v>
      </c>
      <c r="M107" s="406">
        <f>G117</f>
        <v>0.903941997668174</v>
      </c>
      <c r="N107" s="407">
        <f>G107</f>
        <v>0.602627998445449</v>
      </c>
      <c r="O107" s="408">
        <f>G97</f>
        <v>0.301313999222725</v>
      </c>
      <c r="P107" s="409"/>
      <c r="Q107" s="414"/>
      <c r="R107" s="409"/>
      <c r="S107" s="409"/>
      <c r="T107" s="409"/>
      <c r="U107" s="414"/>
      <c r="V107" s="418"/>
      <c r="W107" s="419" t="s">
        <v>6</v>
      </c>
      <c r="X107" s="417">
        <f>E60*(0.8)^(LOG((X95/X95),2))</f>
        <v>750</v>
      </c>
      <c r="Y107" s="428">
        <f>E60*(0.8)^(LOG((Y95/X95),2))</f>
        <v>564.065533066443</v>
      </c>
      <c r="Z107" s="428">
        <f>E60*(0.8)^(LOG((Z95/X95),2))</f>
        <v>478.507338185553</v>
      </c>
      <c r="AA107" s="428">
        <f>E60*(0.8)^(LOG((AA95/X95),2))</f>
        <v>538.586253480774</v>
      </c>
      <c r="AB107" s="428">
        <f>E60*(0.8)^(LOG((AB95/X95),2))</f>
        <v>476.62090316884</v>
      </c>
      <c r="AC107" s="176"/>
      <c r="AD107" s="176"/>
      <c r="AK107" s="418"/>
      <c r="AL107" s="419"/>
      <c r="AM107" s="417"/>
      <c r="AN107" s="428"/>
      <c r="AO107" s="428"/>
      <c r="AP107" s="428"/>
      <c r="AQ107" s="428"/>
      <c r="AR107" s="176"/>
      <c r="AS107" s="176"/>
    </row>
    <row r="108" spans="4:43">
      <c r="D108" s="173"/>
      <c r="E108" s="272">
        <f t="shared" ref="E108:G108" si="59">E98*2</f>
        <v>11.0118400000001</v>
      </c>
      <c r="F108" s="272">
        <f t="shared" si="59"/>
        <v>56.5957799999987</v>
      </c>
      <c r="G108" s="272">
        <f t="shared" si="59"/>
        <v>57.264790902952</v>
      </c>
      <c r="I108" s="401" t="s">
        <v>10</v>
      </c>
      <c r="J108" s="405">
        <f>G148</f>
        <v>171.794372708856</v>
      </c>
      <c r="K108" s="405">
        <f>G138</f>
        <v>143.16197725738</v>
      </c>
      <c r="L108" s="405">
        <f>G128</f>
        <v>114.529581805904</v>
      </c>
      <c r="M108" s="406">
        <f>G118</f>
        <v>85.897186354428</v>
      </c>
      <c r="N108" s="407">
        <f>G108</f>
        <v>57.264790902952</v>
      </c>
      <c r="O108" s="408">
        <f>G98</f>
        <v>28.632395451476</v>
      </c>
      <c r="P108" s="409"/>
      <c r="Q108" s="414"/>
      <c r="R108" s="409"/>
      <c r="S108" s="409"/>
      <c r="T108" s="409"/>
      <c r="U108" s="414"/>
      <c r="V108" s="420"/>
      <c r="W108" s="419" t="s">
        <v>14</v>
      </c>
      <c r="X108" s="417">
        <f t="shared" ref="X108:X114" si="60">E61*(0.8)^(LOG((X96/X96),2))</f>
        <v>730</v>
      </c>
      <c r="Y108" s="428">
        <f t="shared" ref="Y108:Y114" si="61">E61*(0.8)^(LOG((Y96/X96),2))</f>
        <v>565.250782062462</v>
      </c>
      <c r="Z108" s="428">
        <f t="shared" ref="Z108:Z114" si="62">E61*(0.8)^(LOG((Z96/X96),2))</f>
        <v>481.630242889677</v>
      </c>
      <c r="AA108" s="428">
        <f t="shared" ref="AA108:AA114" si="63">E61*(0.8)^(LOG((AA96/X96),2))</f>
        <v>498.866842240706</v>
      </c>
      <c r="AB108" s="428">
        <f t="shared" ref="AB108:AB114" si="64">E61*(0.8)^(LOG((AB96/X96),2))</f>
        <v>411.637873208655</v>
      </c>
      <c r="AC108" s="13"/>
      <c r="AD108" s="13"/>
      <c r="AK108" s="420"/>
      <c r="AL108" s="419"/>
      <c r="AM108" s="417"/>
      <c r="AN108" s="428"/>
      <c r="AO108" s="428"/>
      <c r="AP108" s="428"/>
      <c r="AQ108" s="428"/>
    </row>
    <row r="109" spans="4:43">
      <c r="D109" s="173"/>
      <c r="E109" s="272">
        <f t="shared" ref="E109:G109" si="65">E99*2</f>
        <v>1.32677999999999</v>
      </c>
      <c r="F109" s="272">
        <f t="shared" si="65"/>
        <v>8.57460000000003</v>
      </c>
      <c r="G109" s="272">
        <f t="shared" si="65"/>
        <v>10.336000386194</v>
      </c>
      <c r="I109" s="401" t="s">
        <v>11</v>
      </c>
      <c r="J109" s="405">
        <f>G149</f>
        <v>31.0080011585819</v>
      </c>
      <c r="K109" s="405">
        <f>G139</f>
        <v>25.8400009654849</v>
      </c>
      <c r="L109" s="405">
        <f>G129</f>
        <v>20.6720007723879</v>
      </c>
      <c r="M109" s="406">
        <f>G119</f>
        <v>15.504000579291</v>
      </c>
      <c r="N109" s="407">
        <f>G109</f>
        <v>10.336000386194</v>
      </c>
      <c r="O109" s="408">
        <f>G99</f>
        <v>5.16800019309699</v>
      </c>
      <c r="Q109" s="414"/>
      <c r="R109" s="409"/>
      <c r="S109" s="409"/>
      <c r="T109" s="409"/>
      <c r="U109" s="414"/>
      <c r="V109" s="420"/>
      <c r="W109" s="419" t="s">
        <v>7</v>
      </c>
      <c r="X109" s="417">
        <f t="shared" si="60"/>
        <v>1110</v>
      </c>
      <c r="Y109" s="428">
        <f t="shared" si="61"/>
        <v>754.40335917343</v>
      </c>
      <c r="Z109" s="428">
        <f t="shared" si="62"/>
        <v>510.528727515454</v>
      </c>
      <c r="AA109" s="428">
        <f t="shared" si="63"/>
        <v>697.266862554483</v>
      </c>
      <c r="AB109" s="428">
        <f t="shared" si="64"/>
        <v>497.136526441659</v>
      </c>
      <c r="AC109" s="13"/>
      <c r="AD109" s="13"/>
      <c r="AK109" s="420"/>
      <c r="AL109" s="419"/>
      <c r="AM109" s="417"/>
      <c r="AN109" s="428"/>
      <c r="AO109" s="428"/>
      <c r="AP109" s="428"/>
      <c r="AQ109" s="428"/>
    </row>
    <row r="110" spans="4:43">
      <c r="D110" s="173"/>
      <c r="E110" s="272">
        <f t="shared" ref="E110:G110" si="66">E100*2</f>
        <v>-0.648959999999988</v>
      </c>
      <c r="F110" s="272">
        <f t="shared" si="66"/>
        <v>2.11510000000004</v>
      </c>
      <c r="G110" s="272">
        <f t="shared" si="66"/>
        <v>2.18841026364277</v>
      </c>
      <c r="I110" s="401" t="s">
        <v>14</v>
      </c>
      <c r="J110" s="405">
        <f>G145</f>
        <v>-8.82584726760599</v>
      </c>
      <c r="K110" s="405">
        <f>G135</f>
        <v>-7.35487272300499</v>
      </c>
      <c r="L110" s="405">
        <f>G125</f>
        <v>-5.883898178404</v>
      </c>
      <c r="M110" s="406">
        <f>G115</f>
        <v>-4.412923633803</v>
      </c>
      <c r="N110" s="407">
        <f>G105</f>
        <v>-2.941949089202</v>
      </c>
      <c r="O110" s="408">
        <f>G95</f>
        <v>-1.470974544601</v>
      </c>
      <c r="P110" s="404"/>
      <c r="Q110" s="404"/>
      <c r="R110" s="404"/>
      <c r="S110" s="404"/>
      <c r="T110" s="404"/>
      <c r="U110" s="404"/>
      <c r="V110" s="420"/>
      <c r="W110" s="419" t="s">
        <v>9</v>
      </c>
      <c r="X110" s="417">
        <f t="shared" si="60"/>
        <v>1250</v>
      </c>
      <c r="Y110" s="428">
        <f t="shared" si="61"/>
        <v>1009.24100823266</v>
      </c>
      <c r="Z110" s="428">
        <f t="shared" si="62"/>
        <v>803.353740333177</v>
      </c>
      <c r="AA110" s="428">
        <f t="shared" si="63"/>
        <v>921.585254295856</v>
      </c>
      <c r="AB110" s="428">
        <f t="shared" si="64"/>
        <v>609.11355885838</v>
      </c>
      <c r="AC110" s="13"/>
      <c r="AD110" s="13"/>
      <c r="AK110" s="420"/>
      <c r="AL110" s="419"/>
      <c r="AM110" s="417"/>
      <c r="AN110" s="428"/>
      <c r="AO110" s="428"/>
      <c r="AP110" s="428"/>
      <c r="AQ110" s="428"/>
    </row>
    <row r="111" spans="4:43">
      <c r="D111" s="173"/>
      <c r="E111" s="272">
        <f t="shared" ref="E111:G111" si="67">E101*2</f>
        <v>0.645123711934062</v>
      </c>
      <c r="F111" s="273">
        <f t="shared" si="67"/>
        <v>3.61517596623355</v>
      </c>
      <c r="G111" s="272">
        <f t="shared" si="67"/>
        <v>6.96882096675949</v>
      </c>
      <c r="I111" s="401" t="s">
        <v>85</v>
      </c>
      <c r="J111" s="405">
        <f>G151</f>
        <v>20.9064629002785</v>
      </c>
      <c r="K111" s="405">
        <f>G141</f>
        <v>17.4220524168987</v>
      </c>
      <c r="L111" s="405">
        <f>G131</f>
        <v>13.937641933519</v>
      </c>
      <c r="M111" s="406">
        <f>G121</f>
        <v>10.4532314501392</v>
      </c>
      <c r="N111" s="407">
        <f>G111</f>
        <v>6.96882096675949</v>
      </c>
      <c r="O111" s="408">
        <f>G101</f>
        <v>3.48441048337975</v>
      </c>
      <c r="P111" s="409"/>
      <c r="Q111" s="414"/>
      <c r="R111" s="409"/>
      <c r="S111" s="409"/>
      <c r="T111" s="409"/>
      <c r="U111" s="414"/>
      <c r="V111" s="420"/>
      <c r="W111" s="419" t="s">
        <v>10</v>
      </c>
      <c r="X111" s="417">
        <f t="shared" si="60"/>
        <v>670</v>
      </c>
      <c r="Y111" s="428">
        <f t="shared" si="61"/>
        <v>405.951188268199</v>
      </c>
      <c r="Z111" s="428">
        <f t="shared" si="62"/>
        <v>288.454315490857</v>
      </c>
      <c r="AA111" s="428">
        <f t="shared" si="63"/>
        <v>403.882994522785</v>
      </c>
      <c r="AB111" s="428">
        <f t="shared" si="64"/>
        <v>286.849430038028</v>
      </c>
      <c r="AC111" s="13"/>
      <c r="AD111" s="13"/>
      <c r="AK111" s="420"/>
      <c r="AL111" s="419"/>
      <c r="AM111" s="417"/>
      <c r="AN111" s="428"/>
      <c r="AO111" s="428"/>
      <c r="AP111" s="428"/>
      <c r="AQ111" s="428"/>
    </row>
    <row r="112" spans="9:43">
      <c r="I112" s="203"/>
      <c r="J112" s="409"/>
      <c r="K112" s="409"/>
      <c r="L112" s="176"/>
      <c r="M112" s="203"/>
      <c r="N112" s="409"/>
      <c r="O112" s="409"/>
      <c r="P112" s="409"/>
      <c r="Q112" s="414"/>
      <c r="R112" s="409"/>
      <c r="S112" s="409"/>
      <c r="T112" s="409"/>
      <c r="U112" s="414"/>
      <c r="V112" s="420"/>
      <c r="W112" s="419" t="s">
        <v>11</v>
      </c>
      <c r="X112" s="417">
        <f t="shared" si="60"/>
        <v>710</v>
      </c>
      <c r="Y112" s="428">
        <f t="shared" si="61"/>
        <v>456.97660021379</v>
      </c>
      <c r="Z112" s="428">
        <f t="shared" si="62"/>
        <v>296.415521490001</v>
      </c>
      <c r="AA112" s="428">
        <f t="shared" si="63"/>
        <v>452.017900423756</v>
      </c>
      <c r="AB112" s="428">
        <f t="shared" si="64"/>
        <v>271.255628267598</v>
      </c>
      <c r="AC112" s="13"/>
      <c r="AD112" s="13"/>
      <c r="AK112" s="420"/>
      <c r="AL112" s="419"/>
      <c r="AM112" s="417"/>
      <c r="AN112" s="428"/>
      <c r="AO112" s="428"/>
      <c r="AP112" s="428"/>
      <c r="AQ112" s="428"/>
    </row>
    <row r="113" spans="16:43">
      <c r="P113" s="409"/>
      <c r="Q113" s="414"/>
      <c r="R113" s="409"/>
      <c r="S113" s="409"/>
      <c r="T113" s="409"/>
      <c r="U113" s="414"/>
      <c r="V113" s="420"/>
      <c r="W113" s="417" t="s">
        <v>8</v>
      </c>
      <c r="X113" s="417">
        <f t="shared" si="60"/>
        <v>1880</v>
      </c>
      <c r="Y113" s="428">
        <f t="shared" si="61"/>
        <v>1627.93739528276</v>
      </c>
      <c r="Z113" s="428">
        <f t="shared" si="62"/>
        <v>1514.92702001308</v>
      </c>
      <c r="AA113" s="428">
        <f t="shared" si="63"/>
        <v>1618.9619153095</v>
      </c>
      <c r="AB113" s="428">
        <f t="shared" si="64"/>
        <v>1490.61725608848</v>
      </c>
      <c r="AC113" s="13"/>
      <c r="AD113" s="13"/>
      <c r="AK113" s="420"/>
      <c r="AL113" s="417"/>
      <c r="AM113" s="417"/>
      <c r="AN113" s="428"/>
      <c r="AO113" s="428"/>
      <c r="AP113" s="428"/>
      <c r="AQ113" s="428"/>
    </row>
    <row r="114" spans="4:43">
      <c r="D114" s="173" t="s">
        <v>106</v>
      </c>
      <c r="E114" s="272">
        <f t="shared" ref="E114:G114" si="68">E94*3</f>
        <v>19.2189600000001</v>
      </c>
      <c r="F114" s="272">
        <f t="shared" si="68"/>
        <v>42.0458999999999</v>
      </c>
      <c r="G114" s="272">
        <f t="shared" si="68"/>
        <v>42.3971846578156</v>
      </c>
      <c r="I114" s="176"/>
      <c r="J114" s="409"/>
      <c r="K114" s="409"/>
      <c r="L114" s="176"/>
      <c r="M114" s="203"/>
      <c r="N114" s="409"/>
      <c r="O114" s="409"/>
      <c r="P114" s="409"/>
      <c r="Q114" s="414"/>
      <c r="R114" s="409"/>
      <c r="S114" s="409"/>
      <c r="T114" s="409"/>
      <c r="U114" s="414"/>
      <c r="V114" s="420"/>
      <c r="W114" s="419" t="s">
        <v>85</v>
      </c>
      <c r="X114" s="417">
        <f t="shared" si="60"/>
        <v>1505.05414331267</v>
      </c>
      <c r="Y114" s="428">
        <f t="shared" si="61"/>
        <v>1110.25018422536</v>
      </c>
      <c r="Z114" s="428">
        <f t="shared" si="62"/>
        <v>664.038611223519</v>
      </c>
      <c r="AA114" s="428">
        <f t="shared" si="63"/>
        <v>887.561219592134</v>
      </c>
      <c r="AB114" s="428">
        <f t="shared" si="64"/>
        <v>486.261344457306</v>
      </c>
      <c r="AC114" s="13"/>
      <c r="AD114" s="13"/>
      <c r="AK114" s="420"/>
      <c r="AL114" s="419"/>
      <c r="AM114" s="417"/>
      <c r="AN114" s="428"/>
      <c r="AO114" s="428"/>
      <c r="AP114" s="428"/>
      <c r="AQ114" s="428"/>
    </row>
    <row r="115" spans="4:38">
      <c r="D115" s="173"/>
      <c r="E115" s="272">
        <f t="shared" ref="E115:G115" si="69">E95*3</f>
        <v>-2.11548</v>
      </c>
      <c r="F115" s="272">
        <f t="shared" si="69"/>
        <v>-3.17016</v>
      </c>
      <c r="G115" s="272">
        <f t="shared" si="69"/>
        <v>-4.412923633803</v>
      </c>
      <c r="I115" s="176"/>
      <c r="J115" s="410"/>
      <c r="K115" s="410"/>
      <c r="L115" s="176"/>
      <c r="M115" s="203"/>
      <c r="N115" s="409"/>
      <c r="O115" s="409"/>
      <c r="P115" s="409"/>
      <c r="Q115" s="414"/>
      <c r="R115" s="409"/>
      <c r="S115" s="409"/>
      <c r="T115" s="409"/>
      <c r="U115" s="414"/>
      <c r="V115" s="13"/>
      <c r="W115" s="13"/>
      <c r="X115" s="13"/>
      <c r="Y115" s="13"/>
      <c r="Z115" s="13"/>
      <c r="AA115" s="13"/>
      <c r="AB115" s="13"/>
      <c r="AC115" s="13"/>
      <c r="AD115" s="13"/>
      <c r="AK115" s="13"/>
      <c r="AL115" s="13"/>
    </row>
    <row r="116" spans="4:45">
      <c r="D116" s="173"/>
      <c r="E116" s="272">
        <f t="shared" ref="E116:G116" si="70">E96*3</f>
        <v>119.67375</v>
      </c>
      <c r="F116" s="272">
        <f t="shared" si="70"/>
        <v>574.130460000001</v>
      </c>
      <c r="G116" s="272">
        <f t="shared" si="70"/>
        <v>607.192788657618</v>
      </c>
      <c r="I116" s="176"/>
      <c r="J116" s="176"/>
      <c r="K116" s="176"/>
      <c r="L116" s="176"/>
      <c r="M116" s="203"/>
      <c r="N116" s="409"/>
      <c r="O116" s="409"/>
      <c r="P116" s="409"/>
      <c r="Q116" s="414"/>
      <c r="R116" s="409"/>
      <c r="S116" s="409"/>
      <c r="T116" s="409"/>
      <c r="U116" s="414"/>
      <c r="V116" s="13" t="s">
        <v>134</v>
      </c>
      <c r="W116" s="155"/>
      <c r="X116" s="155">
        <v>2023</v>
      </c>
      <c r="Y116" s="155" t="s">
        <v>90</v>
      </c>
      <c r="Z116" s="155" t="s">
        <v>96</v>
      </c>
      <c r="AA116" s="155" t="s">
        <v>20</v>
      </c>
      <c r="AB116" s="155" t="s">
        <v>21</v>
      </c>
      <c r="AC116" s="155" t="s">
        <v>91</v>
      </c>
      <c r="AD116" s="155" t="s">
        <v>112</v>
      </c>
      <c r="AK116" s="13" t="s">
        <v>134</v>
      </c>
      <c r="AL116" s="155"/>
      <c r="AM116" s="155">
        <v>2023</v>
      </c>
      <c r="AN116" s="155" t="s">
        <v>90</v>
      </c>
      <c r="AO116" s="155" t="s">
        <v>96</v>
      </c>
      <c r="AP116" s="155" t="s">
        <v>20</v>
      </c>
      <c r="AQ116" s="155" t="s">
        <v>21</v>
      </c>
      <c r="AR116" s="155" t="s">
        <v>91</v>
      </c>
      <c r="AS116" s="155" t="s">
        <v>112</v>
      </c>
    </row>
    <row r="117" spans="4:45">
      <c r="D117" s="173"/>
      <c r="E117" s="272">
        <f t="shared" ref="E117:G117" si="71">E97*3</f>
        <v>0.230039999999999</v>
      </c>
      <c r="F117" s="272">
        <f t="shared" si="71"/>
        <v>0.504599999999999</v>
      </c>
      <c r="G117" s="272">
        <f t="shared" si="71"/>
        <v>0.903941997668174</v>
      </c>
      <c r="I117" s="176"/>
      <c r="J117" s="176"/>
      <c r="K117" s="176"/>
      <c r="L117" s="176"/>
      <c r="M117" s="203"/>
      <c r="N117" s="409"/>
      <c r="O117" s="409"/>
      <c r="P117" s="409"/>
      <c r="Q117" s="414"/>
      <c r="R117" s="409"/>
      <c r="S117" s="409"/>
      <c r="T117" s="409"/>
      <c r="U117" s="414"/>
      <c r="V117" s="421"/>
      <c r="W117" s="183" t="s">
        <v>6</v>
      </c>
      <c r="X117" s="155"/>
      <c r="Y117" s="155">
        <v>480</v>
      </c>
      <c r="Z117" s="155">
        <v>340</v>
      </c>
      <c r="AA117" s="155"/>
      <c r="AB117" s="155"/>
      <c r="AC117" s="13">
        <v>460</v>
      </c>
      <c r="AD117" s="13">
        <v>320</v>
      </c>
      <c r="AK117" s="421"/>
      <c r="AL117" s="183" t="s">
        <v>6</v>
      </c>
      <c r="AM117" s="155"/>
      <c r="AN117" s="155">
        <v>480</v>
      </c>
      <c r="AO117" s="155">
        <v>340</v>
      </c>
      <c r="AP117" s="155"/>
      <c r="AQ117" s="155"/>
      <c r="AR117" s="13">
        <v>460</v>
      </c>
      <c r="AS117" s="13">
        <v>320</v>
      </c>
    </row>
    <row r="118" spans="4:45">
      <c r="D118" s="173"/>
      <c r="E118" s="272">
        <f t="shared" ref="E118:G118" si="72">E98*3</f>
        <v>16.5177600000002</v>
      </c>
      <c r="F118" s="272">
        <f t="shared" si="72"/>
        <v>84.8936699999981</v>
      </c>
      <c r="G118" s="272">
        <f t="shared" si="72"/>
        <v>85.897186354428</v>
      </c>
      <c r="I118" s="176"/>
      <c r="J118" s="176"/>
      <c r="K118" s="176"/>
      <c r="L118" s="176"/>
      <c r="M118" s="176"/>
      <c r="N118" s="409"/>
      <c r="O118" s="409"/>
      <c r="P118" s="409"/>
      <c r="Q118" s="414"/>
      <c r="R118" s="409"/>
      <c r="S118" s="409"/>
      <c r="T118" s="409"/>
      <c r="U118" s="414"/>
      <c r="V118" s="422"/>
      <c r="W118" s="183" t="s">
        <v>14</v>
      </c>
      <c r="X118" s="423"/>
      <c r="Y118" s="423">
        <v>460</v>
      </c>
      <c r="Z118" s="423">
        <v>330</v>
      </c>
      <c r="AA118" s="423"/>
      <c r="AB118" s="423"/>
      <c r="AC118" s="13">
        <v>430</v>
      </c>
      <c r="AD118" s="13">
        <v>300</v>
      </c>
      <c r="AK118" s="422"/>
      <c r="AL118" s="183" t="s">
        <v>14</v>
      </c>
      <c r="AM118" s="423"/>
      <c r="AN118" s="423">
        <v>460</v>
      </c>
      <c r="AO118" s="423">
        <v>330</v>
      </c>
      <c r="AP118" s="423"/>
      <c r="AQ118" s="423"/>
      <c r="AR118" s="13">
        <v>430</v>
      </c>
      <c r="AS118" s="13">
        <v>300</v>
      </c>
    </row>
    <row r="119" spans="4:45">
      <c r="D119" s="173"/>
      <c r="E119" s="272">
        <f t="shared" ref="E119:G119" si="73">E99*3</f>
        <v>1.99016999999998</v>
      </c>
      <c r="F119" s="272">
        <f t="shared" si="73"/>
        <v>12.8619</v>
      </c>
      <c r="G119" s="272">
        <f t="shared" si="73"/>
        <v>15.504000579291</v>
      </c>
      <c r="I119" s="176"/>
      <c r="J119" s="176"/>
      <c r="K119" s="176"/>
      <c r="L119" s="176"/>
      <c r="M119" s="411"/>
      <c r="N119" s="409"/>
      <c r="O119" s="176"/>
      <c r="P119" s="409"/>
      <c r="Q119" s="414"/>
      <c r="R119" s="409"/>
      <c r="S119" s="409"/>
      <c r="T119" s="409"/>
      <c r="U119" s="414"/>
      <c r="V119" s="422"/>
      <c r="W119" s="183" t="s">
        <v>7</v>
      </c>
      <c r="X119" s="423"/>
      <c r="Y119" s="423">
        <v>690</v>
      </c>
      <c r="Z119" s="423">
        <v>480</v>
      </c>
      <c r="AA119" s="423"/>
      <c r="AB119" s="423"/>
      <c r="AC119" s="13">
        <v>640</v>
      </c>
      <c r="AD119" s="13">
        <v>440</v>
      </c>
      <c r="AK119" s="422"/>
      <c r="AL119" s="183" t="s">
        <v>7</v>
      </c>
      <c r="AM119" s="423"/>
      <c r="AN119" s="423">
        <v>690</v>
      </c>
      <c r="AO119" s="423">
        <v>480</v>
      </c>
      <c r="AP119" s="423"/>
      <c r="AQ119" s="423"/>
      <c r="AR119" s="13">
        <v>640</v>
      </c>
      <c r="AS119" s="13">
        <v>440</v>
      </c>
    </row>
    <row r="120" spans="4:45">
      <c r="D120" s="173"/>
      <c r="E120" s="272">
        <f t="shared" ref="E120:G120" si="74">E100*3</f>
        <v>-0.973439999999982</v>
      </c>
      <c r="F120" s="272">
        <f t="shared" si="74"/>
        <v>3.17265000000006</v>
      </c>
      <c r="G120" s="272">
        <f t="shared" si="74"/>
        <v>3.28261539546415</v>
      </c>
      <c r="I120" s="176"/>
      <c r="J120" s="176"/>
      <c r="K120" s="176"/>
      <c r="L120" s="176"/>
      <c r="M120" s="176"/>
      <c r="N120" s="176"/>
      <c r="O120" s="176"/>
      <c r="Q120" s="176"/>
      <c r="R120" s="176"/>
      <c r="S120" s="176"/>
      <c r="T120" s="176"/>
      <c r="U120" s="176"/>
      <c r="V120" s="422"/>
      <c r="W120" s="183" t="s">
        <v>9</v>
      </c>
      <c r="X120" s="423"/>
      <c r="Y120" s="423">
        <v>820</v>
      </c>
      <c r="Z120" s="423">
        <v>580</v>
      </c>
      <c r="AA120" s="423"/>
      <c r="AB120" s="423"/>
      <c r="AC120" s="13">
        <v>780</v>
      </c>
      <c r="AD120" s="13">
        <v>460</v>
      </c>
      <c r="AK120" s="422"/>
      <c r="AL120" s="183" t="s">
        <v>9</v>
      </c>
      <c r="AM120" s="423"/>
      <c r="AN120" s="423">
        <v>820</v>
      </c>
      <c r="AO120" s="423">
        <v>580</v>
      </c>
      <c r="AP120" s="423"/>
      <c r="AQ120" s="423"/>
      <c r="AR120" s="13">
        <v>780</v>
      </c>
      <c r="AS120" s="13">
        <v>460</v>
      </c>
    </row>
    <row r="121" spans="4:45">
      <c r="D121" s="173"/>
      <c r="E121" s="272">
        <f t="shared" ref="E121:G121" si="75">E101*3</f>
        <v>0.967685567901093</v>
      </c>
      <c r="F121" s="272">
        <f t="shared" si="75"/>
        <v>5.42276394935033</v>
      </c>
      <c r="G121" s="272">
        <f t="shared" si="75"/>
        <v>10.4532314501392</v>
      </c>
      <c r="I121" s="176"/>
      <c r="J121" s="176"/>
      <c r="K121" s="176"/>
      <c r="L121" s="176"/>
      <c r="M121" s="176"/>
      <c r="N121" s="176"/>
      <c r="O121" s="176"/>
      <c r="Q121" s="176"/>
      <c r="R121" s="176"/>
      <c r="S121" s="176"/>
      <c r="T121" s="176"/>
      <c r="U121" s="176"/>
      <c r="V121" s="422"/>
      <c r="W121" s="183" t="s">
        <v>10</v>
      </c>
      <c r="X121" s="423"/>
      <c r="Y121" s="423">
        <v>410</v>
      </c>
      <c r="Z121" s="423">
        <v>280</v>
      </c>
      <c r="AA121" s="423"/>
      <c r="AB121" s="423"/>
      <c r="AC121" s="13">
        <v>400</v>
      </c>
      <c r="AD121" s="13">
        <v>270</v>
      </c>
      <c r="AK121" s="422"/>
      <c r="AL121" s="183" t="s">
        <v>10</v>
      </c>
      <c r="AM121" s="423"/>
      <c r="AN121" s="423">
        <v>410</v>
      </c>
      <c r="AO121" s="423">
        <v>280</v>
      </c>
      <c r="AP121" s="423"/>
      <c r="AQ121" s="423"/>
      <c r="AR121" s="13">
        <v>400</v>
      </c>
      <c r="AS121" s="13">
        <v>270</v>
      </c>
    </row>
    <row r="122" spans="9:45">
      <c r="I122" s="176"/>
      <c r="J122" s="176"/>
      <c r="K122" s="176"/>
      <c r="L122" s="176"/>
      <c r="M122" s="176"/>
      <c r="N122" s="176"/>
      <c r="O122" s="176"/>
      <c r="Q122" s="176"/>
      <c r="R122" s="176"/>
      <c r="S122" s="176"/>
      <c r="T122" s="176"/>
      <c r="U122" s="176"/>
      <c r="V122" s="422"/>
      <c r="W122" s="183" t="s">
        <v>11</v>
      </c>
      <c r="X122" s="423"/>
      <c r="Y122" s="423">
        <v>450</v>
      </c>
      <c r="Z122" s="423">
        <v>300</v>
      </c>
      <c r="AA122" s="423"/>
      <c r="AB122" s="423"/>
      <c r="AC122" s="13">
        <v>430</v>
      </c>
      <c r="AD122" s="13">
        <v>280</v>
      </c>
      <c r="AK122" s="422"/>
      <c r="AL122" s="183" t="s">
        <v>11</v>
      </c>
      <c r="AM122" s="423"/>
      <c r="AN122" s="423">
        <v>450</v>
      </c>
      <c r="AO122" s="423">
        <v>300</v>
      </c>
      <c r="AP122" s="423"/>
      <c r="AQ122" s="423"/>
      <c r="AR122" s="13">
        <v>430</v>
      </c>
      <c r="AS122" s="13">
        <v>280</v>
      </c>
    </row>
    <row r="123" spans="9:45">
      <c r="I123" s="176"/>
      <c r="J123" s="176"/>
      <c r="K123" s="176"/>
      <c r="L123" s="176"/>
      <c r="M123" s="176"/>
      <c r="N123" s="176"/>
      <c r="O123" s="176"/>
      <c r="Q123" s="176"/>
      <c r="R123" s="176"/>
      <c r="S123" s="176"/>
      <c r="T123" s="176"/>
      <c r="U123" s="176"/>
      <c r="V123" s="422"/>
      <c r="W123" s="155" t="s">
        <v>8</v>
      </c>
      <c r="X123" s="423"/>
      <c r="Y123" s="423">
        <v>1260</v>
      </c>
      <c r="Z123" s="423">
        <v>940</v>
      </c>
      <c r="AA123" s="423"/>
      <c r="AB123" s="423"/>
      <c r="AC123" s="13">
        <v>1220</v>
      </c>
      <c r="AD123" s="13">
        <v>880</v>
      </c>
      <c r="AK123" s="422"/>
      <c r="AL123" s="155" t="s">
        <v>8</v>
      </c>
      <c r="AM123" s="423"/>
      <c r="AN123" s="423">
        <v>1260</v>
      </c>
      <c r="AO123" s="423">
        <v>940</v>
      </c>
      <c r="AP123" s="423"/>
      <c r="AQ123" s="423"/>
      <c r="AR123" s="13">
        <v>1220</v>
      </c>
      <c r="AS123" s="13">
        <v>880</v>
      </c>
    </row>
    <row r="124" spans="4:45">
      <c r="D124" s="173" t="s">
        <v>107</v>
      </c>
      <c r="E124" s="272">
        <f t="shared" ref="E124:G124" si="76">E94*4</f>
        <v>25.6252800000001</v>
      </c>
      <c r="F124" s="272">
        <f t="shared" si="76"/>
        <v>56.0611999999999</v>
      </c>
      <c r="G124" s="272">
        <f t="shared" si="76"/>
        <v>56.5295795437542</v>
      </c>
      <c r="I124" s="176"/>
      <c r="J124" s="176"/>
      <c r="K124" s="176"/>
      <c r="L124" s="176"/>
      <c r="M124" s="176"/>
      <c r="N124" s="176"/>
      <c r="O124" s="176"/>
      <c r="Q124" s="176"/>
      <c r="R124" s="176"/>
      <c r="S124" s="176"/>
      <c r="T124" s="176"/>
      <c r="U124" s="176"/>
      <c r="V124" s="422"/>
      <c r="W124" s="183" t="s">
        <v>85</v>
      </c>
      <c r="X124" s="423"/>
      <c r="Y124" s="423">
        <v>1110.25018422535</v>
      </c>
      <c r="Z124" s="423">
        <v>664.038611223518</v>
      </c>
      <c r="AA124" s="423"/>
      <c r="AB124" s="423"/>
      <c r="AC124" s="423"/>
      <c r="AD124" s="429" t="s">
        <v>98</v>
      </c>
      <c r="AK124" s="422"/>
      <c r="AL124" s="183" t="s">
        <v>85</v>
      </c>
      <c r="AM124" s="423"/>
      <c r="AN124" s="423">
        <v>1110.25018422535</v>
      </c>
      <c r="AO124" s="423">
        <v>664.038611223518</v>
      </c>
      <c r="AP124" s="423"/>
      <c r="AQ124" s="423"/>
      <c r="AR124" s="423"/>
      <c r="AS124" s="429" t="s">
        <v>98</v>
      </c>
    </row>
    <row r="125" spans="4:38">
      <c r="D125" s="173"/>
      <c r="E125" s="272">
        <f t="shared" ref="E125:G125" si="77">E95*4</f>
        <v>-2.82064</v>
      </c>
      <c r="F125" s="272">
        <f t="shared" si="77"/>
        <v>-4.22687999999999</v>
      </c>
      <c r="G125" s="272">
        <f t="shared" si="77"/>
        <v>-5.883898178404</v>
      </c>
      <c r="I125" s="176"/>
      <c r="J125" s="176"/>
      <c r="K125" s="176"/>
      <c r="L125" s="176"/>
      <c r="M125" s="176"/>
      <c r="N125" s="176"/>
      <c r="O125" s="176"/>
      <c r="Q125" s="176"/>
      <c r="R125" s="176"/>
      <c r="S125" s="176"/>
      <c r="T125" s="176"/>
      <c r="U125" s="176"/>
      <c r="V125" s="13"/>
      <c r="W125" s="13"/>
      <c r="X125" s="13"/>
      <c r="Y125" s="13"/>
      <c r="Z125" s="13"/>
      <c r="AA125" s="13"/>
      <c r="AB125" s="13"/>
      <c r="AC125" s="13"/>
      <c r="AD125" s="13"/>
      <c r="AK125" s="13"/>
      <c r="AL125" s="13"/>
    </row>
    <row r="126" spans="4:43">
      <c r="D126" s="173"/>
      <c r="E126" s="272">
        <f t="shared" ref="E126:G126" si="78">E96*4</f>
        <v>159.565</v>
      </c>
      <c r="F126" s="272">
        <f t="shared" si="78"/>
        <v>765.507280000001</v>
      </c>
      <c r="G126" s="272">
        <f t="shared" si="78"/>
        <v>809.590384876824</v>
      </c>
      <c r="I126" s="412"/>
      <c r="J126" s="404"/>
      <c r="K126" s="404"/>
      <c r="L126" s="176"/>
      <c r="M126" s="176"/>
      <c r="N126" s="176"/>
      <c r="O126" s="176"/>
      <c r="Q126" s="176"/>
      <c r="R126" s="176"/>
      <c r="S126" s="176"/>
      <c r="T126" s="176"/>
      <c r="U126" s="176"/>
      <c r="V126" s="424" t="s">
        <v>135</v>
      </c>
      <c r="W126" s="425"/>
      <c r="X126" s="426">
        <v>2023</v>
      </c>
      <c r="Y126" s="426" t="s">
        <v>90</v>
      </c>
      <c r="Z126" s="426" t="s">
        <v>96</v>
      </c>
      <c r="AA126" s="426" t="s">
        <v>20</v>
      </c>
      <c r="AB126" s="426" t="s">
        <v>21</v>
      </c>
      <c r="AC126" s="13"/>
      <c r="AD126" s="13"/>
      <c r="AK126" s="424" t="s">
        <v>135</v>
      </c>
      <c r="AL126" s="425"/>
      <c r="AM126" s="426">
        <v>2023</v>
      </c>
      <c r="AN126" s="426" t="s">
        <v>90</v>
      </c>
      <c r="AO126" s="426" t="s">
        <v>96</v>
      </c>
      <c r="AP126" s="426" t="s">
        <v>20</v>
      </c>
      <c r="AQ126" s="426" t="s">
        <v>21</v>
      </c>
    </row>
    <row r="127" spans="4:43">
      <c r="D127" s="173"/>
      <c r="E127" s="272">
        <f t="shared" ref="E127:G127" si="79">E97*4</f>
        <v>0.306719999999999</v>
      </c>
      <c r="F127" s="272">
        <f t="shared" si="79"/>
        <v>0.672799999999999</v>
      </c>
      <c r="G127" s="272">
        <f t="shared" si="79"/>
        <v>1.2052559968909</v>
      </c>
      <c r="I127" s="411"/>
      <c r="J127" s="409"/>
      <c r="K127" s="176"/>
      <c r="L127" s="176"/>
      <c r="M127" s="176"/>
      <c r="N127" s="176"/>
      <c r="O127" s="176"/>
      <c r="Q127" s="176"/>
      <c r="R127" s="176"/>
      <c r="S127" s="176"/>
      <c r="T127" s="176"/>
      <c r="U127" s="176"/>
      <c r="V127" s="14"/>
      <c r="W127" s="427" t="s">
        <v>6</v>
      </c>
      <c r="X127" s="426"/>
      <c r="Y127" s="430">
        <f>Y117*(0.8)^(LOG((Y95/Y95),2))</f>
        <v>480</v>
      </c>
      <c r="Z127" s="430">
        <f>Z117*(0.8)^(LOG((Z95/Z95),2))</f>
        <v>340</v>
      </c>
      <c r="AA127" s="430">
        <f>Y117*(0.8)^(LOG((AA95/Y95),2))</f>
        <v>458.318026037446</v>
      </c>
      <c r="AB127" s="430">
        <f>Z117*(0.8)^(LOG((AB95/Z95),2))</f>
        <v>338.659606960022</v>
      </c>
      <c r="AC127" s="13"/>
      <c r="AD127" s="13"/>
      <c r="AK127" s="14"/>
      <c r="AL127" s="427" t="s">
        <v>6</v>
      </c>
      <c r="AM127" s="426"/>
      <c r="AN127" s="430">
        <f t="shared" ref="AN127:AN134" si="80">AN117*(0.8)^(LOG((AN95/AN95),2))</f>
        <v>480</v>
      </c>
      <c r="AO127" s="430">
        <f t="shared" ref="AO127:AO134" si="81">AO117*(0.8)^(LOG((AO95/AO95),2))</f>
        <v>340</v>
      </c>
      <c r="AP127" s="430">
        <f t="shared" ref="AP127:AP134" si="82">AN117*(0.8)^(LOG((AP95/AN95),2))</f>
        <v>458.318026037446</v>
      </c>
      <c r="AQ127" s="430">
        <f t="shared" ref="AQ127:AQ134" si="83">AO117*(0.8)^(LOG((AQ95/AO95),2))</f>
        <v>338.659606960022</v>
      </c>
    </row>
    <row r="128" spans="4:44">
      <c r="D128" s="173"/>
      <c r="E128" s="272">
        <f t="shared" ref="E128:G128" si="84">E98*4</f>
        <v>22.0236800000002</v>
      </c>
      <c r="F128" s="272">
        <f t="shared" si="84"/>
        <v>113.191559999997</v>
      </c>
      <c r="G128" s="272">
        <f t="shared" si="84"/>
        <v>114.529581805904</v>
      </c>
      <c r="I128" s="411"/>
      <c r="J128" s="409"/>
      <c r="K128" s="176"/>
      <c r="L128" s="176"/>
      <c r="M128" s="176"/>
      <c r="N128" s="176"/>
      <c r="O128" s="176"/>
      <c r="Q128" s="176"/>
      <c r="R128" s="176"/>
      <c r="S128" s="176"/>
      <c r="T128" s="176"/>
      <c r="U128" s="176"/>
      <c r="V128" s="14"/>
      <c r="W128" s="427" t="s">
        <v>14</v>
      </c>
      <c r="X128" s="426"/>
      <c r="Y128" s="430">
        <f t="shared" ref="Y128:Y134" si="85">Y118*(0.8)^(LOG((Y96/Y96),2))</f>
        <v>460</v>
      </c>
      <c r="Z128" s="430">
        <f t="shared" ref="Z128:Z134" si="86">Z118*(0.8)^(LOG((Z96/Z96),2))</f>
        <v>330</v>
      </c>
      <c r="AA128" s="430">
        <f t="shared" ref="AA128:AA134" si="87">Y118*(0.8)^(LOG((AA96/Y96),2))</f>
        <v>405.976877366561</v>
      </c>
      <c r="AB128" s="430">
        <f t="shared" ref="AB128:AB134" si="88">Z118*(0.8)^(LOG((AB96/Z96),2))</f>
        <v>282.043123670645</v>
      </c>
      <c r="AC128" s="431"/>
      <c r="AD128" s="13"/>
      <c r="AK128" s="14"/>
      <c r="AL128" s="427" t="s">
        <v>14</v>
      </c>
      <c r="AM128" s="426"/>
      <c r="AN128" s="430">
        <f t="shared" si="80"/>
        <v>460</v>
      </c>
      <c r="AO128" s="430">
        <f t="shared" si="81"/>
        <v>330</v>
      </c>
      <c r="AP128" s="430">
        <f t="shared" si="82"/>
        <v>405.976877366561</v>
      </c>
      <c r="AQ128" s="430">
        <f t="shared" si="83"/>
        <v>282.043123670645</v>
      </c>
      <c r="AR128" s="431"/>
    </row>
    <row r="129" ht="15.25" spans="4:44">
      <c r="D129" s="173"/>
      <c r="E129" s="272">
        <f t="shared" ref="E129:G129" si="89">E99*4</f>
        <v>2.65355999999997</v>
      </c>
      <c r="F129" s="272">
        <f t="shared" si="89"/>
        <v>17.1492000000001</v>
      </c>
      <c r="G129" s="272">
        <f t="shared" si="89"/>
        <v>20.6720007723879</v>
      </c>
      <c r="I129" s="411"/>
      <c r="J129" s="409"/>
      <c r="K129" s="176"/>
      <c r="L129" s="176"/>
      <c r="M129" s="176"/>
      <c r="N129" s="176"/>
      <c r="O129" s="176"/>
      <c r="Q129" s="176"/>
      <c r="R129" s="176"/>
      <c r="S129" s="176"/>
      <c r="T129" s="176"/>
      <c r="U129" s="176"/>
      <c r="V129" s="14"/>
      <c r="W129" s="427" t="s">
        <v>7</v>
      </c>
      <c r="X129" s="426"/>
      <c r="Y129" s="430">
        <f t="shared" si="85"/>
        <v>690</v>
      </c>
      <c r="Z129" s="430">
        <f t="shared" si="86"/>
        <v>480</v>
      </c>
      <c r="AA129" s="430">
        <f t="shared" si="87"/>
        <v>637.741241886477</v>
      </c>
      <c r="AB129" s="430">
        <f t="shared" si="88"/>
        <v>467.408629193688</v>
      </c>
      <c r="AC129" s="438"/>
      <c r="AD129" s="13"/>
      <c r="AK129" s="14"/>
      <c r="AL129" s="427" t="s">
        <v>7</v>
      </c>
      <c r="AM129" s="426"/>
      <c r="AN129" s="430">
        <f t="shared" si="80"/>
        <v>690</v>
      </c>
      <c r="AO129" s="430">
        <f t="shared" si="81"/>
        <v>480</v>
      </c>
      <c r="AP129" s="430">
        <f t="shared" si="82"/>
        <v>637.741241886477</v>
      </c>
      <c r="AQ129" s="430">
        <f t="shared" si="83"/>
        <v>467.408629193688</v>
      </c>
      <c r="AR129" s="438"/>
    </row>
    <row r="130" spans="4:44">
      <c r="D130" s="173"/>
      <c r="E130" s="272">
        <f t="shared" ref="E130:G130" si="90">E100*4</f>
        <v>-1.29791999999998</v>
      </c>
      <c r="F130" s="272">
        <f t="shared" si="90"/>
        <v>4.23020000000008</v>
      </c>
      <c r="G130" s="272">
        <f t="shared" si="90"/>
        <v>4.37682052728553</v>
      </c>
      <c r="I130" s="411"/>
      <c r="J130" s="409"/>
      <c r="K130" s="176"/>
      <c r="L130" s="176"/>
      <c r="M130" s="176"/>
      <c r="N130" s="176"/>
      <c r="O130" s="176"/>
      <c r="Q130" s="176"/>
      <c r="R130" s="176"/>
      <c r="S130" s="176"/>
      <c r="T130" s="176"/>
      <c r="U130" s="176"/>
      <c r="V130" s="14"/>
      <c r="W130" s="427" t="s">
        <v>9</v>
      </c>
      <c r="X130" s="426"/>
      <c r="Y130" s="430">
        <f t="shared" si="85"/>
        <v>820</v>
      </c>
      <c r="Z130" s="430">
        <f t="shared" si="86"/>
        <v>580</v>
      </c>
      <c r="AA130" s="430">
        <f t="shared" si="87"/>
        <v>748.780422474067</v>
      </c>
      <c r="AB130" s="430">
        <f t="shared" si="88"/>
        <v>439.763763334619</v>
      </c>
      <c r="AC130" s="431"/>
      <c r="AD130" s="13"/>
      <c r="AK130" s="14"/>
      <c r="AL130" s="427" t="s">
        <v>9</v>
      </c>
      <c r="AM130" s="426"/>
      <c r="AN130" s="430">
        <f t="shared" si="80"/>
        <v>820</v>
      </c>
      <c r="AO130" s="430">
        <f t="shared" si="81"/>
        <v>580</v>
      </c>
      <c r="AP130" s="430">
        <f t="shared" si="82"/>
        <v>748.780422474067</v>
      </c>
      <c r="AQ130" s="430">
        <f t="shared" si="83"/>
        <v>439.763763334619</v>
      </c>
      <c r="AR130" s="431"/>
    </row>
    <row r="131" spans="4:44">
      <c r="D131" s="173"/>
      <c r="E131" s="272">
        <f t="shared" ref="E131:G131" si="91">E101*4</f>
        <v>1.29024742386812</v>
      </c>
      <c r="F131" s="272">
        <f t="shared" si="91"/>
        <v>7.2303519324671</v>
      </c>
      <c r="G131" s="272">
        <f t="shared" si="91"/>
        <v>13.937641933519</v>
      </c>
      <c r="I131" s="411"/>
      <c r="J131" s="409"/>
      <c r="K131" s="176"/>
      <c r="L131" s="176"/>
      <c r="M131" s="176"/>
      <c r="N131" s="176"/>
      <c r="O131" s="176"/>
      <c r="Q131" s="176"/>
      <c r="R131" s="176"/>
      <c r="S131" s="176"/>
      <c r="T131" s="176"/>
      <c r="U131" s="176"/>
      <c r="V131" s="14"/>
      <c r="W131" s="427" t="s">
        <v>10</v>
      </c>
      <c r="X131" s="426"/>
      <c r="Y131" s="430">
        <f t="shared" si="85"/>
        <v>410</v>
      </c>
      <c r="Z131" s="430">
        <f t="shared" si="86"/>
        <v>280</v>
      </c>
      <c r="AA131" s="430">
        <f t="shared" si="87"/>
        <v>407.911178831039</v>
      </c>
      <c r="AB131" s="430">
        <f t="shared" si="88"/>
        <v>278.442152179184</v>
      </c>
      <c r="AC131" s="431"/>
      <c r="AD131" s="13"/>
      <c r="AK131" s="14"/>
      <c r="AL131" s="427" t="s">
        <v>10</v>
      </c>
      <c r="AM131" s="426"/>
      <c r="AN131" s="430">
        <f t="shared" si="80"/>
        <v>410</v>
      </c>
      <c r="AO131" s="430">
        <f t="shared" si="81"/>
        <v>280</v>
      </c>
      <c r="AP131" s="430">
        <f t="shared" si="82"/>
        <v>407.911178831039</v>
      </c>
      <c r="AQ131" s="430">
        <f t="shared" si="83"/>
        <v>278.442152179184</v>
      </c>
      <c r="AR131" s="431"/>
    </row>
    <row r="132" spans="9:44">
      <c r="I132" s="411"/>
      <c r="J132" s="409"/>
      <c r="K132" s="176"/>
      <c r="L132" s="176"/>
      <c r="M132" s="176"/>
      <c r="N132" s="176"/>
      <c r="O132" s="176"/>
      <c r="Q132" s="176"/>
      <c r="R132" s="176"/>
      <c r="S132" s="176"/>
      <c r="T132" s="176"/>
      <c r="U132" s="176"/>
      <c r="V132" s="14"/>
      <c r="W132" s="427" t="s">
        <v>11</v>
      </c>
      <c r="X132" s="426"/>
      <c r="Y132" s="430">
        <f t="shared" si="85"/>
        <v>450</v>
      </c>
      <c r="Z132" s="430">
        <f t="shared" si="86"/>
        <v>300</v>
      </c>
      <c r="AA132" s="430">
        <f t="shared" si="87"/>
        <v>445.117004011866</v>
      </c>
      <c r="AB132" s="430">
        <f t="shared" si="88"/>
        <v>274.535854503235</v>
      </c>
      <c r="AC132" s="431"/>
      <c r="AD132" s="13"/>
      <c r="AK132" s="14"/>
      <c r="AL132" s="427" t="s">
        <v>11</v>
      </c>
      <c r="AM132" s="426"/>
      <c r="AN132" s="430">
        <f t="shared" si="80"/>
        <v>450</v>
      </c>
      <c r="AO132" s="430">
        <f t="shared" si="81"/>
        <v>300</v>
      </c>
      <c r="AP132" s="430">
        <f t="shared" si="82"/>
        <v>445.117004011866</v>
      </c>
      <c r="AQ132" s="430">
        <f t="shared" si="83"/>
        <v>274.535854503235</v>
      </c>
      <c r="AR132" s="431"/>
    </row>
    <row r="133" spans="9:44">
      <c r="I133" s="411"/>
      <c r="J133" s="409"/>
      <c r="K133" s="176"/>
      <c r="L133" s="176"/>
      <c r="M133" s="176"/>
      <c r="N133" s="176"/>
      <c r="O133" s="176"/>
      <c r="Q133" s="176"/>
      <c r="R133" s="176"/>
      <c r="S133" s="176"/>
      <c r="T133" s="176"/>
      <c r="U133" s="176"/>
      <c r="V133" s="14"/>
      <c r="W133" s="426" t="s">
        <v>8</v>
      </c>
      <c r="X133" s="426"/>
      <c r="Y133" s="430">
        <f t="shared" si="85"/>
        <v>1260</v>
      </c>
      <c r="Z133" s="430">
        <f t="shared" si="86"/>
        <v>940</v>
      </c>
      <c r="AA133" s="430">
        <f t="shared" si="87"/>
        <v>1253.05310830805</v>
      </c>
      <c r="AB133" s="430">
        <f t="shared" si="88"/>
        <v>924.915987511445</v>
      </c>
      <c r="AC133" s="431"/>
      <c r="AD133" s="13"/>
      <c r="AK133" s="14"/>
      <c r="AL133" s="426" t="s">
        <v>8</v>
      </c>
      <c r="AM133" s="426"/>
      <c r="AN133" s="430">
        <f t="shared" si="80"/>
        <v>1260</v>
      </c>
      <c r="AO133" s="430">
        <f t="shared" si="81"/>
        <v>940</v>
      </c>
      <c r="AP133" s="430">
        <f t="shared" si="82"/>
        <v>1253.05310830805</v>
      </c>
      <c r="AQ133" s="430">
        <f t="shared" si="83"/>
        <v>924.915987511445</v>
      </c>
      <c r="AR133" s="431"/>
    </row>
    <row r="134" spans="4:44">
      <c r="D134" s="173" t="s">
        <v>108</v>
      </c>
      <c r="E134" s="272">
        <f t="shared" ref="E134:G134" si="92">E94*5</f>
        <v>32.0316000000001</v>
      </c>
      <c r="F134" s="272">
        <f t="shared" si="92"/>
        <v>70.0764999999998</v>
      </c>
      <c r="G134" s="272">
        <f t="shared" si="92"/>
        <v>70.6619744296927</v>
      </c>
      <c r="I134" s="168"/>
      <c r="J134" s="169"/>
      <c r="V134" s="14"/>
      <c r="W134" s="427" t="s">
        <v>85</v>
      </c>
      <c r="X134" s="426"/>
      <c r="Y134" s="430">
        <f t="shared" si="85"/>
        <v>1110.25018422535</v>
      </c>
      <c r="Z134" s="430">
        <f t="shared" si="86"/>
        <v>664.038611223518</v>
      </c>
      <c r="AA134" s="430">
        <f t="shared" si="87"/>
        <v>887.56121959213</v>
      </c>
      <c r="AB134" s="430">
        <f t="shared" si="88"/>
        <v>486.261344457305</v>
      </c>
      <c r="AC134" s="431"/>
      <c r="AD134" s="13"/>
      <c r="AK134" s="14"/>
      <c r="AL134" s="427" t="s">
        <v>85</v>
      </c>
      <c r="AM134" s="426"/>
      <c r="AN134" s="430">
        <f t="shared" si="80"/>
        <v>1110.25018422535</v>
      </c>
      <c r="AO134" s="430">
        <f t="shared" si="81"/>
        <v>664.038611223518</v>
      </c>
      <c r="AP134" s="430">
        <f t="shared" si="82"/>
        <v>887.56121959213</v>
      </c>
      <c r="AQ134" s="430">
        <f t="shared" si="83"/>
        <v>486.261344457305</v>
      </c>
      <c r="AR134" s="431"/>
    </row>
    <row r="135" spans="4:10">
      <c r="D135" s="173"/>
      <c r="E135" s="272">
        <f t="shared" ref="E135:G135" si="93">E95*5</f>
        <v>-3.5258</v>
      </c>
      <c r="F135" s="272">
        <f t="shared" si="93"/>
        <v>-5.28359999999999</v>
      </c>
      <c r="G135" s="272">
        <f t="shared" si="93"/>
        <v>-7.35487272300499</v>
      </c>
      <c r="I135" s="170"/>
      <c r="J135" s="171"/>
    </row>
    <row r="136" spans="4:7">
      <c r="D136" s="173"/>
      <c r="E136" s="272">
        <f t="shared" ref="E136:G136" si="94">E96*5</f>
        <v>199.45625</v>
      </c>
      <c r="F136" s="272">
        <f t="shared" si="94"/>
        <v>956.884100000001</v>
      </c>
      <c r="G136" s="272">
        <f t="shared" si="94"/>
        <v>1011.98798109603</v>
      </c>
    </row>
    <row r="137" spans="4:7">
      <c r="D137" s="173"/>
      <c r="E137" s="272">
        <f t="shared" ref="E137:G137" si="95">E97*5</f>
        <v>0.383399999999998</v>
      </c>
      <c r="F137" s="272">
        <f t="shared" si="95"/>
        <v>0.840999999999998</v>
      </c>
      <c r="G137" s="272">
        <f t="shared" si="95"/>
        <v>1.50656999611362</v>
      </c>
    </row>
    <row r="138" spans="4:7">
      <c r="D138" s="173"/>
      <c r="E138" s="272">
        <f t="shared" ref="E138:G138" si="96">E98*5</f>
        <v>27.5296000000003</v>
      </c>
      <c r="F138" s="272">
        <f t="shared" si="96"/>
        <v>141.489449999997</v>
      </c>
      <c r="G138" s="272">
        <f t="shared" si="96"/>
        <v>143.16197725738</v>
      </c>
    </row>
    <row r="139" spans="4:7">
      <c r="D139" s="173"/>
      <c r="E139" s="272">
        <f t="shared" ref="E139:G139" si="97">E99*5</f>
        <v>3.31694999999996</v>
      </c>
      <c r="F139" s="272">
        <f t="shared" si="97"/>
        <v>21.4365000000001</v>
      </c>
      <c r="G139" s="272">
        <f t="shared" si="97"/>
        <v>25.8400009654849</v>
      </c>
    </row>
    <row r="140" spans="4:7">
      <c r="D140" s="173"/>
      <c r="E140" s="272">
        <f t="shared" ref="E140:G140" si="98">E100*5</f>
        <v>-1.62239999999997</v>
      </c>
      <c r="F140" s="272">
        <f t="shared" si="98"/>
        <v>5.2877500000001</v>
      </c>
      <c r="G140" s="272">
        <f t="shared" si="98"/>
        <v>5.47102565910691</v>
      </c>
    </row>
    <row r="141" spans="4:7">
      <c r="D141" s="173"/>
      <c r="E141" s="272">
        <f t="shared" ref="E141:G141" si="99">E101*5</f>
        <v>1.61280927983515</v>
      </c>
      <c r="F141" s="272">
        <f t="shared" si="99"/>
        <v>9.03793991558388</v>
      </c>
      <c r="G141" s="272">
        <f t="shared" si="99"/>
        <v>17.4220524168987</v>
      </c>
    </row>
    <row r="144" spans="4:41">
      <c r="D144" s="173" t="s">
        <v>109</v>
      </c>
      <c r="E144" s="272">
        <f t="shared" ref="E144:G144" si="100">E94*6</f>
        <v>38.4379200000001</v>
      </c>
      <c r="F144" s="272">
        <f t="shared" si="100"/>
        <v>84.0917999999998</v>
      </c>
      <c r="G144" s="272">
        <f t="shared" si="100"/>
        <v>84.7943693156312</v>
      </c>
      <c r="AL144" s="168" t="s">
        <v>6</v>
      </c>
      <c r="AM144" s="169">
        <v>990</v>
      </c>
      <c r="AN144" s="169">
        <v>650</v>
      </c>
      <c r="AO144" s="169">
        <v>470</v>
      </c>
    </row>
    <row r="145" spans="4:41">
      <c r="D145" s="173"/>
      <c r="E145" s="272">
        <f t="shared" ref="E145:G145" si="101">E95*6</f>
        <v>-4.23096</v>
      </c>
      <c r="F145" s="272">
        <f t="shared" si="101"/>
        <v>-6.34031999999999</v>
      </c>
      <c r="G145" s="272">
        <f t="shared" si="101"/>
        <v>-8.82584726760599</v>
      </c>
      <c r="AL145" s="170" t="s">
        <v>14</v>
      </c>
      <c r="AM145" s="171">
        <v>560</v>
      </c>
      <c r="AN145" s="171">
        <v>350</v>
      </c>
      <c r="AO145" s="171">
        <v>260</v>
      </c>
    </row>
    <row r="146" spans="4:41">
      <c r="D146" s="173"/>
      <c r="E146" s="272">
        <f t="shared" ref="E146:G146" si="102">E96*6</f>
        <v>239.3475</v>
      </c>
      <c r="F146" s="272">
        <f t="shared" si="102"/>
        <v>1148.26092</v>
      </c>
      <c r="G146" s="272">
        <f t="shared" si="102"/>
        <v>1214.38557731524</v>
      </c>
      <c r="AL146" s="168" t="s">
        <v>7</v>
      </c>
      <c r="AM146" s="169" t="s">
        <v>136</v>
      </c>
      <c r="AN146" s="169" t="s">
        <v>137</v>
      </c>
      <c r="AO146" s="169" t="s">
        <v>138</v>
      </c>
    </row>
    <row r="147" spans="4:41">
      <c r="D147" s="173"/>
      <c r="E147" s="272">
        <f t="shared" ref="E147:G147" si="103">E97*6</f>
        <v>0.460079999999998</v>
      </c>
      <c r="F147" s="272">
        <f t="shared" si="103"/>
        <v>1.0092</v>
      </c>
      <c r="G147" s="272">
        <f t="shared" si="103"/>
        <v>1.80788399533635</v>
      </c>
      <c r="AL147" s="168" t="s">
        <v>9</v>
      </c>
      <c r="AM147" s="169" t="s">
        <v>139</v>
      </c>
      <c r="AN147" s="169" t="s">
        <v>140</v>
      </c>
      <c r="AO147" s="169">
        <v>780</v>
      </c>
    </row>
    <row r="148" spans="4:41">
      <c r="D148" s="173"/>
      <c r="E148" s="272">
        <f t="shared" ref="E148:G148" si="104">E98*6</f>
        <v>33.0355200000004</v>
      </c>
      <c r="F148" s="272">
        <f t="shared" si="104"/>
        <v>169.787339999996</v>
      </c>
      <c r="G148" s="272">
        <f t="shared" si="104"/>
        <v>171.794372708856</v>
      </c>
      <c r="AL148" s="168" t="s">
        <v>10</v>
      </c>
      <c r="AM148" s="169">
        <v>750</v>
      </c>
      <c r="AN148" s="169">
        <v>450</v>
      </c>
      <c r="AO148" s="169">
        <v>310</v>
      </c>
    </row>
    <row r="149" spans="4:41">
      <c r="D149" s="173"/>
      <c r="E149" s="272">
        <f t="shared" ref="E149:G149" si="105">E99*6</f>
        <v>3.98033999999996</v>
      </c>
      <c r="F149" s="272">
        <f t="shared" si="105"/>
        <v>25.7238000000001</v>
      </c>
      <c r="G149" s="272">
        <f t="shared" si="105"/>
        <v>31.0080011585819</v>
      </c>
      <c r="AL149" s="168" t="s">
        <v>11</v>
      </c>
      <c r="AM149" s="169">
        <v>780</v>
      </c>
      <c r="AN149" s="169">
        <v>490</v>
      </c>
      <c r="AO149" s="169">
        <v>330</v>
      </c>
    </row>
    <row r="150" spans="4:41">
      <c r="D150" s="173"/>
      <c r="E150" s="272">
        <f t="shared" ref="E150:G150" si="106">E100*6</f>
        <v>-1.94687999999996</v>
      </c>
      <c r="F150" s="272">
        <f t="shared" si="106"/>
        <v>6.34530000000012</v>
      </c>
      <c r="G150" s="272">
        <f t="shared" si="106"/>
        <v>6.5652307909283</v>
      </c>
      <c r="AL150" s="168" t="s">
        <v>8</v>
      </c>
      <c r="AM150" s="169" t="s">
        <v>141</v>
      </c>
      <c r="AN150" s="169" t="s">
        <v>142</v>
      </c>
      <c r="AO150" s="169">
        <v>990</v>
      </c>
    </row>
    <row r="151" spans="4:7">
      <c r="D151" s="173"/>
      <c r="E151" s="272">
        <f t="shared" ref="E151:G151" si="107">E101*6</f>
        <v>1.93537113580219</v>
      </c>
      <c r="F151" s="272">
        <f t="shared" si="107"/>
        <v>10.8455278987007</v>
      </c>
      <c r="G151" s="272">
        <f t="shared" si="107"/>
        <v>20.9064629002785</v>
      </c>
    </row>
  </sheetData>
  <mergeCells count="19">
    <mergeCell ref="BD1:BK1"/>
    <mergeCell ref="BD11:BK11"/>
    <mergeCell ref="BD20:BK20"/>
    <mergeCell ref="BD29:BK29"/>
    <mergeCell ref="BD38:BK38"/>
    <mergeCell ref="BD47:BK47"/>
    <mergeCell ref="BD56:BK56"/>
    <mergeCell ref="E58:G58"/>
    <mergeCell ref="H58:J58"/>
    <mergeCell ref="K58:M58"/>
    <mergeCell ref="N58:P58"/>
    <mergeCell ref="V92:AB92"/>
    <mergeCell ref="AK92:AQ92"/>
    <mergeCell ref="J93:O93"/>
    <mergeCell ref="J103:O103"/>
    <mergeCell ref="D4:D29"/>
    <mergeCell ref="D30:D33"/>
    <mergeCell ref="D34:D37"/>
    <mergeCell ref="D39:D50"/>
  </mergeCells>
  <pageMargins left="0.75" right="0.75" top="1" bottom="1" header="0.5" footer="0.5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50"/>
  <sheetViews>
    <sheetView zoomScale="63" zoomScaleNormal="63" topLeftCell="A12" workbookViewId="0">
      <selection activeCell="K20" sqref="K20"/>
    </sheetView>
  </sheetViews>
  <sheetFormatPr defaultColWidth="8.72727272727273" defaultRowHeight="14.5"/>
  <cols>
    <col min="4" max="4" width="14.0909090909091" customWidth="1"/>
    <col min="5" max="5" width="21.8181818181818" style="177" customWidth="1"/>
    <col min="6" max="6" width="35" style="13" customWidth="1"/>
    <col min="7" max="7" width="20.4545454545455" style="51" customWidth="1"/>
    <col min="8" max="8" width="36" style="13" customWidth="1"/>
    <col min="9" max="9" width="43.1818181818182" style="13" customWidth="1"/>
    <col min="10" max="10" width="47" style="13" customWidth="1"/>
    <col min="11" max="11" width="48.0909090909091" style="13" customWidth="1"/>
    <col min="12" max="12" width="29.6363636363636" style="51" customWidth="1"/>
    <col min="13" max="13" width="33.4545454545455" style="51" customWidth="1"/>
    <col min="14" max="14" width="34.5454545454545" style="51" customWidth="1"/>
    <col min="15" max="15" width="39.2727272727273" style="13" customWidth="1"/>
    <col min="16" max="16" width="25.8181818181818" style="176" customWidth="1"/>
    <col min="17" max="17" width="12.8181818181818"/>
    <col min="22" max="23" width="14.1818181818182"/>
    <col min="27" max="27" width="10.7272727272727"/>
    <col min="28" max="28" width="11.7272727272727"/>
    <col min="37" max="37" width="13.9090909090909" customWidth="1"/>
  </cols>
  <sheetData>
    <row r="1" ht="23.5" customHeight="1" spans="1:1">
      <c r="A1" s="181" t="s">
        <v>26</v>
      </c>
    </row>
    <row r="2" customHeight="1"/>
    <row r="3" customHeight="1" spans="4:22">
      <c r="D3" s="182"/>
      <c r="E3" s="182"/>
      <c r="F3" s="183" t="s">
        <v>27</v>
      </c>
      <c r="G3" s="184" t="s">
        <v>28</v>
      </c>
      <c r="H3" s="183" t="s">
        <v>29</v>
      </c>
      <c r="I3" s="183" t="s">
        <v>30</v>
      </c>
      <c r="J3" s="183" t="s">
        <v>31</v>
      </c>
      <c r="K3" s="183" t="s">
        <v>32</v>
      </c>
      <c r="L3" s="184" t="s">
        <v>33</v>
      </c>
      <c r="M3" s="184" t="s">
        <v>34</v>
      </c>
      <c r="N3" s="184" t="s">
        <v>35</v>
      </c>
      <c r="O3" s="183" t="s">
        <v>36</v>
      </c>
      <c r="P3" s="203"/>
      <c r="V3" t="s">
        <v>116</v>
      </c>
    </row>
    <row r="4" customHeight="1" spans="4:34">
      <c r="D4" s="182" t="s">
        <v>38</v>
      </c>
      <c r="E4" s="183" t="s">
        <v>39</v>
      </c>
      <c r="F4" s="185">
        <f>Attached_WEO2023!B12</f>
        <v>750</v>
      </c>
      <c r="G4" s="186">
        <f>Attached_WEO2023!F12</f>
        <v>990</v>
      </c>
      <c r="H4" s="183"/>
      <c r="I4" s="183"/>
      <c r="J4" s="183"/>
      <c r="K4" s="183"/>
      <c r="L4" s="184"/>
      <c r="M4" s="184"/>
      <c r="N4" s="184"/>
      <c r="O4" s="183">
        <f>AVERAGE('Attached-DIB_GNESTE_Solar_Power'!W70:W74)</f>
        <v>860.90269</v>
      </c>
      <c r="P4" s="203"/>
      <c r="V4" s="212"/>
      <c r="W4" s="213"/>
      <c r="X4" s="212" t="s">
        <v>40</v>
      </c>
      <c r="Y4" s="212"/>
      <c r="Z4" s="212"/>
      <c r="AA4" s="212"/>
      <c r="AB4" s="212"/>
      <c r="AC4" s="213"/>
      <c r="AD4" s="212" t="s">
        <v>41</v>
      </c>
      <c r="AE4" s="212"/>
      <c r="AF4" s="212"/>
      <c r="AG4" s="212"/>
      <c r="AH4" s="212"/>
    </row>
    <row r="5" customHeight="1" spans="4:71">
      <c r="D5" s="182"/>
      <c r="E5" s="187" t="s">
        <v>42</v>
      </c>
      <c r="F5" s="183"/>
      <c r="G5" s="184"/>
      <c r="H5" s="188">
        <f>'Attached-IRENA2024 report'!J20</f>
        <v>626.345636479765</v>
      </c>
      <c r="I5" s="183"/>
      <c r="J5" s="183"/>
      <c r="K5" s="183"/>
      <c r="L5" s="184"/>
      <c r="M5" s="184"/>
      <c r="N5" s="184"/>
      <c r="O5" s="183"/>
      <c r="P5" s="203"/>
      <c r="V5" s="214">
        <v>2023</v>
      </c>
      <c r="W5" s="215"/>
      <c r="X5" s="214">
        <v>2030</v>
      </c>
      <c r="Y5" s="214">
        <v>2035</v>
      </c>
      <c r="Z5" s="214">
        <v>2040</v>
      </c>
      <c r="AA5" s="214">
        <v>2045</v>
      </c>
      <c r="AB5" s="214">
        <v>2050</v>
      </c>
      <c r="AC5" s="215"/>
      <c r="AD5" s="214">
        <v>2030</v>
      </c>
      <c r="AE5" s="214">
        <v>2035</v>
      </c>
      <c r="AF5" s="214">
        <v>2040</v>
      </c>
      <c r="AG5" s="214">
        <v>2045</v>
      </c>
      <c r="AH5" s="214">
        <v>2050</v>
      </c>
      <c r="BD5" s="300" t="s">
        <v>143</v>
      </c>
      <c r="BE5" s="300" t="s">
        <v>144</v>
      </c>
      <c r="BF5" s="300"/>
      <c r="BG5" s="300"/>
      <c r="BH5" s="300"/>
      <c r="BI5" s="300"/>
      <c r="BJ5" s="300"/>
      <c r="BK5" s="309" t="s">
        <v>145</v>
      </c>
      <c r="BL5" s="309"/>
      <c r="BM5" s="309"/>
      <c r="BN5" s="309"/>
      <c r="BO5" s="329" t="s">
        <v>146</v>
      </c>
      <c r="BP5" s="329"/>
      <c r="BQ5" s="329"/>
      <c r="BR5" s="329"/>
      <c r="BS5" s="329"/>
    </row>
    <row r="6" customHeight="1" spans="4:71">
      <c r="D6" s="182"/>
      <c r="E6" s="189" t="s">
        <v>43</v>
      </c>
      <c r="F6" s="183"/>
      <c r="G6" s="184"/>
      <c r="H6" s="188">
        <f>'Attached-IRENA2024 report'!J22</f>
        <v>753.199942043778</v>
      </c>
      <c r="I6" s="204">
        <f>'Attached-IEA2020Projected Costs'!K39</f>
        <v>819.399970080133</v>
      </c>
      <c r="J6" s="204">
        <f>'Attached-IEA2020Projected Costs'!L39</f>
        <v>835.159105087596</v>
      </c>
      <c r="K6" s="204">
        <f>'Attached-IEA2020Projected Costs'!M39</f>
        <v>846.786009386821</v>
      </c>
      <c r="L6" s="205">
        <f>'Attached-IEA2020Projected Costs'!K38</f>
        <v>858.483192337245</v>
      </c>
      <c r="M6" s="205">
        <f>'Attached-IEA2020Projected Costs'!L38</f>
        <v>874.993996613156</v>
      </c>
      <c r="N6" s="205">
        <f>'Attached-IEA2020Projected Costs'!M38</f>
        <v>887.175473650338</v>
      </c>
      <c r="O6" s="183">
        <f>AVERAGE('Attached-DIB_GNESTE_Solar_Power'!V66:V68)</f>
        <v>787.414483333333</v>
      </c>
      <c r="P6" s="203"/>
      <c r="V6" s="216">
        <v>188.55</v>
      </c>
      <c r="W6" s="216"/>
      <c r="X6" s="216">
        <v>608.6</v>
      </c>
      <c r="Y6" s="216">
        <v>973.35</v>
      </c>
      <c r="Z6" s="216">
        <v>1356.32</v>
      </c>
      <c r="AA6" s="216">
        <v>1718.79</v>
      </c>
      <c r="AB6" s="216">
        <v>1998.23</v>
      </c>
      <c r="AC6" s="231"/>
      <c r="AD6" s="216">
        <v>769.55</v>
      </c>
      <c r="AE6" s="216">
        <v>1311.5</v>
      </c>
      <c r="AF6" s="216">
        <v>1768.76</v>
      </c>
      <c r="AG6" s="216">
        <v>2146.99</v>
      </c>
      <c r="AH6" s="216">
        <v>2341.13</v>
      </c>
      <c r="BD6" s="301" t="s">
        <v>147</v>
      </c>
      <c r="BE6" s="310" t="s">
        <v>148</v>
      </c>
      <c r="BF6" s="310"/>
      <c r="BG6" s="310"/>
      <c r="BH6" s="310" t="s">
        <v>149</v>
      </c>
      <c r="BI6" s="310"/>
      <c r="BJ6" s="310"/>
      <c r="BK6" s="311" t="s">
        <v>88</v>
      </c>
      <c r="BL6" s="311"/>
      <c r="BM6" s="312" t="s">
        <v>148</v>
      </c>
      <c r="BN6" s="312"/>
      <c r="BO6" s="330" t="s">
        <v>150</v>
      </c>
      <c r="BP6" s="330"/>
      <c r="BQ6" s="330"/>
      <c r="BR6" s="330" t="s">
        <v>151</v>
      </c>
      <c r="BS6" s="330"/>
    </row>
    <row r="7" customHeight="1" spans="4:71">
      <c r="D7" s="182"/>
      <c r="E7" s="190" t="s">
        <v>44</v>
      </c>
      <c r="F7" s="183"/>
      <c r="G7" s="184"/>
      <c r="H7" s="188">
        <f>'Attached-IRENA2024 report'!J24</f>
        <v>730.770056340242</v>
      </c>
      <c r="I7" s="183"/>
      <c r="J7" s="183"/>
      <c r="K7" s="183"/>
      <c r="L7" s="184"/>
      <c r="M7" s="184"/>
      <c r="N7" s="184"/>
      <c r="O7" s="183">
        <f>AVERAGE('Attached-DIB_GNESTE_Solar_Power'!X89:X90)</f>
        <v>757.7542</v>
      </c>
      <c r="P7" s="203"/>
      <c r="BE7" s="310"/>
      <c r="BF7" s="310"/>
      <c r="BG7" s="310"/>
      <c r="BH7" s="310"/>
      <c r="BI7" s="310"/>
      <c r="BJ7" s="310"/>
      <c r="BK7" s="312" t="s">
        <v>152</v>
      </c>
      <c r="BL7" s="312"/>
      <c r="BM7" s="312"/>
      <c r="BN7" s="312"/>
      <c r="BO7" s="330"/>
      <c r="BP7" s="330"/>
      <c r="BQ7" s="330"/>
      <c r="BR7" s="330"/>
      <c r="BS7" s="330"/>
    </row>
    <row r="8" customHeight="1" spans="4:71">
      <c r="D8" s="182"/>
      <c r="E8" s="467" t="s">
        <v>45</v>
      </c>
      <c r="F8" s="183"/>
      <c r="G8" s="184"/>
      <c r="H8" s="188">
        <f>'Attached-IRENA2024 report'!J26</f>
        <v>932.69057682304</v>
      </c>
      <c r="I8" s="183"/>
      <c r="J8" s="183"/>
      <c r="K8" s="183"/>
      <c r="L8" s="184"/>
      <c r="M8" s="184"/>
      <c r="N8" s="184"/>
      <c r="O8" s="183"/>
      <c r="P8" s="203"/>
      <c r="BD8" s="302"/>
      <c r="BE8" s="313" t="s">
        <v>153</v>
      </c>
      <c r="BF8" s="314">
        <v>2030</v>
      </c>
      <c r="BG8" s="314">
        <v>2050</v>
      </c>
      <c r="BH8" s="313">
        <v>2022</v>
      </c>
      <c r="BI8" s="313">
        <v>2030</v>
      </c>
      <c r="BJ8" s="313">
        <v>2050</v>
      </c>
      <c r="BK8" s="315">
        <v>2030</v>
      </c>
      <c r="BL8" s="315">
        <v>2050</v>
      </c>
      <c r="BM8" s="331">
        <v>2030</v>
      </c>
      <c r="BN8" s="331">
        <v>2050</v>
      </c>
      <c r="BO8" s="331"/>
      <c r="BP8" s="313">
        <v>2030</v>
      </c>
      <c r="BQ8" s="313">
        <v>2050</v>
      </c>
      <c r="BR8" s="313">
        <v>2030</v>
      </c>
      <c r="BS8" s="313">
        <v>2050</v>
      </c>
    </row>
    <row r="9" customHeight="1" spans="4:71">
      <c r="D9" s="182"/>
      <c r="E9" s="183" t="s">
        <v>46</v>
      </c>
      <c r="F9" s="183"/>
      <c r="G9" s="184"/>
      <c r="H9" s="188">
        <f>'Attached-IRENA2024 report'!J28</f>
        <v>723.269642287587</v>
      </c>
      <c r="I9" s="183"/>
      <c r="J9" s="183"/>
      <c r="K9" s="183"/>
      <c r="L9" s="184"/>
      <c r="M9" s="184"/>
      <c r="N9" s="184"/>
      <c r="O9" s="183"/>
      <c r="P9" s="203"/>
      <c r="BD9" s="303" t="s">
        <v>154</v>
      </c>
      <c r="BE9" s="316"/>
      <c r="BF9" s="316"/>
      <c r="BG9" s="316"/>
      <c r="BH9" s="316"/>
      <c r="BI9" s="316"/>
      <c r="BJ9" s="316"/>
      <c r="BK9" s="317"/>
      <c r="BL9" s="317"/>
      <c r="BM9" s="317"/>
      <c r="BN9" s="317"/>
      <c r="BO9" s="317"/>
      <c r="BP9" s="316"/>
      <c r="BQ9" s="316"/>
      <c r="BR9" s="316"/>
      <c r="BS9" s="316"/>
    </row>
    <row r="10" customHeight="1" spans="4:71">
      <c r="D10" s="182"/>
      <c r="E10" s="190" t="s">
        <v>47</v>
      </c>
      <c r="F10" s="183"/>
      <c r="G10" s="184"/>
      <c r="H10" s="188">
        <f>'Attached-IRENA2024 report'!J30</f>
        <v>954.780120798756</v>
      </c>
      <c r="I10" s="204" cm="1">
        <f t="array" ref="I10:K10">'Attached-IEA2020Projected Costs'!K21:M21</f>
        <v>718.771903579064</v>
      </c>
      <c r="J10" s="183">
        <v>732.59570621719</v>
      </c>
      <c r="K10" s="183">
        <v>742.794745076159</v>
      </c>
      <c r="L10" s="184">
        <f>AVERAGE('Attached-IEA2020Projected Costs'!K19:K20)</f>
        <v>1293.78942644231</v>
      </c>
      <c r="M10" s="184">
        <f>AVERAGE('Attached-IEA2020Projected Costs'!L19:L20)</f>
        <v>1318.67227119094</v>
      </c>
      <c r="N10" s="184">
        <f>AVERAGE('Attached-IEA2020Projected Costs'!M19:M20)</f>
        <v>1337.03054113709</v>
      </c>
      <c r="O10" s="183"/>
      <c r="P10" s="203"/>
      <c r="V10" t="s">
        <v>114</v>
      </c>
      <c r="BD10" s="304" t="s">
        <v>155</v>
      </c>
      <c r="BE10" s="318">
        <v>801</v>
      </c>
      <c r="BF10" s="319">
        <v>596</v>
      </c>
      <c r="BG10" s="319">
        <f>'Summarize-ForReg(Current&amp;2050)'!H60</f>
        <v>500.585288746707</v>
      </c>
      <c r="BH10" s="319"/>
      <c r="BI10" s="319"/>
      <c r="BJ10" s="319"/>
      <c r="BK10" s="320">
        <f>K60</f>
        <v>565.825195398861</v>
      </c>
      <c r="BL10" s="320">
        <f>'Summarize-ForReg(Current&amp;2050)'!K60</f>
        <v>485.907404984676</v>
      </c>
      <c r="BM10" s="332"/>
      <c r="BN10" s="332"/>
      <c r="BO10" s="332"/>
      <c r="BP10" s="318"/>
      <c r="BQ10" s="318"/>
      <c r="BR10" s="318"/>
      <c r="BS10" s="318"/>
    </row>
    <row r="11" customHeight="1" spans="4:71">
      <c r="D11" s="182"/>
      <c r="E11" s="467" t="s">
        <v>49</v>
      </c>
      <c r="F11" s="183"/>
      <c r="G11" s="184"/>
      <c r="H11" s="188">
        <f>'Attached-IRENA2024 report'!J32</f>
        <v>821.340789143001</v>
      </c>
      <c r="I11" s="183">
        <f>AVERAGE('Attached-IEA2020Projected Costs'!K31:K32)</f>
        <v>844.088155965248</v>
      </c>
      <c r="J11" s="183">
        <f>AVERAGE('Attached-IEA2020Projected Costs'!L31:L32)</f>
        <v>860.322107263484</v>
      </c>
      <c r="K11" s="183">
        <f>AVERAGE('Attached-IEA2020Projected Costs'!M31:M32)</f>
        <v>872.299325432723</v>
      </c>
      <c r="L11" s="184">
        <f>AVERAGE('Attached-IEA2020Projected Costs'!K26:K30)</f>
        <v>1347.02977522693</v>
      </c>
      <c r="M11" s="184">
        <f>AVERAGE('Attached-IEA2020Projected Costs'!L26:L30)</f>
        <v>1372.93656661331</v>
      </c>
      <c r="N11" s="184">
        <f>AVERAGE('Attached-IEA2020Projected Costs'!M26:M30)</f>
        <v>1392.05029233536</v>
      </c>
      <c r="O11" s="183"/>
      <c r="P11" s="203"/>
      <c r="V11" s="212"/>
      <c r="W11" s="213"/>
      <c r="X11" s="212" t="s">
        <v>40</v>
      </c>
      <c r="Y11" s="212"/>
      <c r="Z11" s="212"/>
      <c r="AA11" s="212"/>
      <c r="AB11" s="212"/>
      <c r="AC11" s="213"/>
      <c r="AD11" s="212" t="s">
        <v>41</v>
      </c>
      <c r="AE11" s="212"/>
      <c r="AF11" s="212"/>
      <c r="AG11" s="212"/>
      <c r="AH11" s="212"/>
      <c r="BD11" s="305" t="s">
        <v>39</v>
      </c>
      <c r="BE11" s="318">
        <v>990</v>
      </c>
      <c r="BF11" s="319">
        <v>620</v>
      </c>
      <c r="BG11" s="319">
        <v>450</v>
      </c>
      <c r="BH11" s="319">
        <v>14</v>
      </c>
      <c r="BI11" s="319">
        <v>14</v>
      </c>
      <c r="BJ11" s="319">
        <v>12</v>
      </c>
      <c r="BK11" s="320" t="s">
        <v>156</v>
      </c>
      <c r="BL11" s="320" t="s">
        <v>157</v>
      </c>
      <c r="BM11" s="332" t="s">
        <v>158</v>
      </c>
      <c r="BN11" s="332" t="s">
        <v>159</v>
      </c>
      <c r="BO11" s="332"/>
      <c r="BP11" s="318">
        <v>580</v>
      </c>
      <c r="BQ11" s="318">
        <v>410</v>
      </c>
      <c r="BR11" s="318">
        <v>14</v>
      </c>
      <c r="BS11" s="318">
        <v>12</v>
      </c>
    </row>
    <row r="12" customHeight="1" spans="4:71">
      <c r="D12" s="182"/>
      <c r="E12" s="467" t="s">
        <v>50</v>
      </c>
      <c r="F12" s="183"/>
      <c r="G12" s="184"/>
      <c r="H12" s="192">
        <f>'Attached-IRENA2024 report'!J57</f>
        <v>670.767173185107</v>
      </c>
      <c r="I12" s="183"/>
      <c r="J12" s="183"/>
      <c r="K12" s="183"/>
      <c r="L12" s="184"/>
      <c r="M12" s="184"/>
      <c r="N12" s="184"/>
      <c r="O12" s="183"/>
      <c r="P12" s="203"/>
      <c r="V12" s="214">
        <v>2023</v>
      </c>
      <c r="W12" s="215"/>
      <c r="X12" s="214">
        <v>2030</v>
      </c>
      <c r="Y12" s="214">
        <v>2035</v>
      </c>
      <c r="Z12" s="214">
        <v>2040</v>
      </c>
      <c r="AA12" s="214">
        <v>2045</v>
      </c>
      <c r="AB12" s="214">
        <v>2050</v>
      </c>
      <c r="AC12" s="215"/>
      <c r="AD12" s="214">
        <v>2030</v>
      </c>
      <c r="AE12" s="214">
        <v>2035</v>
      </c>
      <c r="AF12" s="214">
        <v>2040</v>
      </c>
      <c r="AG12" s="214">
        <v>2045</v>
      </c>
      <c r="AH12" s="214">
        <v>2050</v>
      </c>
      <c r="BD12" s="304" t="s">
        <v>160</v>
      </c>
      <c r="BE12" s="318">
        <v>1174</v>
      </c>
      <c r="BF12" s="319">
        <v>805</v>
      </c>
      <c r="BG12" s="319">
        <f>'Summarize-ForReg(Current&amp;2050)'!H62</f>
        <v>548.882993395212</v>
      </c>
      <c r="BH12" s="319"/>
      <c r="BI12" s="319"/>
      <c r="BJ12" s="319"/>
      <c r="BK12" s="320">
        <f>K62</f>
        <v>746.258956165334</v>
      </c>
      <c r="BL12" s="320">
        <f>'Summarize-ForReg(Current&amp;2050)'!K62</f>
        <v>521.59995183811</v>
      </c>
      <c r="BM12" s="332"/>
      <c r="BN12" s="332"/>
      <c r="BO12" s="332"/>
      <c r="BP12" s="318"/>
      <c r="BQ12" s="318"/>
      <c r="BR12" s="318"/>
      <c r="BS12" s="318"/>
    </row>
    <row r="13" customHeight="1" spans="4:71">
      <c r="D13" s="182"/>
      <c r="E13" s="467" t="s">
        <v>51</v>
      </c>
      <c r="F13" s="183"/>
      <c r="G13" s="184"/>
      <c r="H13" s="192">
        <f>'Attached-IRENA2024 report'!J58</f>
        <v>715.36</v>
      </c>
      <c r="I13" s="183"/>
      <c r="J13" s="183"/>
      <c r="K13" s="183"/>
      <c r="L13" s="184"/>
      <c r="M13" s="184"/>
      <c r="N13" s="184"/>
      <c r="O13" s="183"/>
      <c r="P13" s="203"/>
      <c r="V13" s="216">
        <v>61.93</v>
      </c>
      <c r="W13" s="216"/>
      <c r="X13" s="216">
        <v>144.78</v>
      </c>
      <c r="Y13" s="216">
        <v>176.87</v>
      </c>
      <c r="Z13" s="216">
        <v>219.78</v>
      </c>
      <c r="AA13" s="216">
        <v>258.21</v>
      </c>
      <c r="AB13" s="216">
        <v>309.64</v>
      </c>
      <c r="AC13" s="231"/>
      <c r="AD13" s="216">
        <v>222.89</v>
      </c>
      <c r="AE13" s="216">
        <v>321.92</v>
      </c>
      <c r="AF13" s="216">
        <v>432.17</v>
      </c>
      <c r="AG13" s="216">
        <v>534.61</v>
      </c>
      <c r="AH13" s="216">
        <v>666.41</v>
      </c>
      <c r="BD13" s="305" t="s">
        <v>37</v>
      </c>
      <c r="BE13" s="318" t="s">
        <v>161</v>
      </c>
      <c r="BF13" s="319">
        <v>690</v>
      </c>
      <c r="BG13" s="319">
        <v>480</v>
      </c>
      <c r="BH13" s="319">
        <v>16</v>
      </c>
      <c r="BI13" s="319">
        <v>16</v>
      </c>
      <c r="BJ13" s="319">
        <v>16</v>
      </c>
      <c r="BK13" s="320" t="s">
        <v>162</v>
      </c>
      <c r="BL13" s="320" t="s">
        <v>163</v>
      </c>
      <c r="BM13" s="332" t="s">
        <v>158</v>
      </c>
      <c r="BN13" s="332" t="s">
        <v>164</v>
      </c>
      <c r="BO13" s="332"/>
      <c r="BP13" s="318">
        <v>640</v>
      </c>
      <c r="BQ13" s="318">
        <v>440</v>
      </c>
      <c r="BR13" s="318">
        <v>16</v>
      </c>
      <c r="BS13" s="318">
        <v>16</v>
      </c>
    </row>
    <row r="14" customHeight="1" spans="4:71">
      <c r="D14" s="182"/>
      <c r="E14" s="467" t="s">
        <v>52</v>
      </c>
      <c r="F14" s="183"/>
      <c r="G14" s="184"/>
      <c r="H14" s="183">
        <f>'Attached-IRENA2024 report'!J62</f>
        <v>1078</v>
      </c>
      <c r="I14" s="204">
        <f>'Attached-IEA2020Projected Costs'!K25</f>
        <v>978.037474432965</v>
      </c>
      <c r="J14" s="204">
        <f>'Attached-IEA2020Projected Costs'!L25</f>
        <v>996.847610098994</v>
      </c>
      <c r="K14" s="204">
        <f>'Attached-IEA2020Projected Costs'!M25</f>
        <v>1010.72550676913</v>
      </c>
      <c r="L14" s="184">
        <f>AVERAGE('Attached-IEA2020Projected Costs'!K22:K24)</f>
        <v>1445.27196682721</v>
      </c>
      <c r="M14" s="184">
        <f>AVERAGE('Attached-IEA2020Projected Costs'!L22:L24)</f>
        <v>1473.06820417086</v>
      </c>
      <c r="N14" s="184">
        <f>AVERAGE('Attached-IEA2020Projected Costs'!M22:M24)</f>
        <v>1493.57594087851</v>
      </c>
      <c r="O14" s="183"/>
      <c r="P14" s="203"/>
      <c r="BD14" s="304" t="s">
        <v>165</v>
      </c>
      <c r="BE14" s="318">
        <v>1249</v>
      </c>
      <c r="BF14" s="319">
        <f>H63</f>
        <v>721.195572107715</v>
      </c>
      <c r="BG14" s="319">
        <f>'Summarize-ForReg(Current&amp;2050)'!H63</f>
        <v>582.514824524485</v>
      </c>
      <c r="BH14" s="319"/>
      <c r="BI14" s="319"/>
      <c r="BJ14" s="319"/>
      <c r="BK14" s="320">
        <f>K63</f>
        <v>669.630333625889</v>
      </c>
      <c r="BL14" s="320">
        <f>'Summarize-ForReg(Current&amp;2050)'!K63</f>
        <v>439.4362097842</v>
      </c>
      <c r="BM14" s="332"/>
      <c r="BN14" s="332"/>
      <c r="BO14" s="332"/>
      <c r="BP14" s="318"/>
      <c r="BQ14" s="318"/>
      <c r="BR14" s="318"/>
      <c r="BS14" s="318"/>
    </row>
    <row r="15" customHeight="1" spans="4:71">
      <c r="D15" s="182"/>
      <c r="E15" s="467" t="s">
        <v>53</v>
      </c>
      <c r="F15" s="183"/>
      <c r="G15" s="184"/>
      <c r="H15" s="183">
        <f>'Attached-IRENA2024 report'!J63</f>
        <v>965</v>
      </c>
      <c r="I15" s="204">
        <f>'Attached-IEA2020Projected Costs'!K12</f>
        <v>1006.28066501069</v>
      </c>
      <c r="J15" s="204">
        <f>'Attached-IEA2020Projected Costs'!L12</f>
        <v>1025.63398870407</v>
      </c>
      <c r="K15" s="204">
        <f>'Attached-IEA2020Projected Costs'!M12</f>
        <v>1039.91264310662</v>
      </c>
      <c r="L15" s="184">
        <f>AVERAGE('Attached-IEA2020Projected Costs'!K9:K11)</f>
        <v>1419.33491893413</v>
      </c>
      <c r="M15" s="184">
        <f>AVERAGE('Attached-IEA2020Projected Costs'!L9:L11)</f>
        <v>1446.63232121021</v>
      </c>
      <c r="N15" s="184">
        <f>AVERAGE('Attached-IEA2020Projected Costs'!M9:M11)</f>
        <v>1466.77202327705</v>
      </c>
      <c r="O15" s="183"/>
      <c r="P15" s="203"/>
      <c r="BD15" s="305" t="s">
        <v>117</v>
      </c>
      <c r="BE15" s="318" t="s">
        <v>166</v>
      </c>
      <c r="BF15" s="319" t="s">
        <v>167</v>
      </c>
      <c r="BG15" s="319">
        <v>770</v>
      </c>
      <c r="BH15" s="319">
        <v>26</v>
      </c>
      <c r="BI15" s="319">
        <v>24</v>
      </c>
      <c r="BJ15" s="319">
        <v>22</v>
      </c>
      <c r="BK15" s="320" t="s">
        <v>168</v>
      </c>
      <c r="BL15" s="320" t="s">
        <v>169</v>
      </c>
      <c r="BM15" s="332" t="s">
        <v>170</v>
      </c>
      <c r="BN15" s="332" t="s">
        <v>171</v>
      </c>
      <c r="BO15" s="332"/>
      <c r="BP15" s="318">
        <v>940</v>
      </c>
      <c r="BQ15" s="318">
        <v>610</v>
      </c>
      <c r="BR15" s="318">
        <v>22</v>
      </c>
      <c r="BS15" s="318">
        <v>22</v>
      </c>
    </row>
    <row r="16" customHeight="1" spans="4:71">
      <c r="D16" s="182"/>
      <c r="E16" s="468" t="s">
        <v>54</v>
      </c>
      <c r="F16" s="183"/>
      <c r="G16" s="184"/>
      <c r="H16" s="183">
        <f>'Attached-IRENA2024 report'!J64</f>
        <v>854</v>
      </c>
      <c r="I16" s="183"/>
      <c r="J16" s="183"/>
      <c r="K16" s="183"/>
      <c r="L16" s="184"/>
      <c r="M16" s="184"/>
      <c r="N16" s="184"/>
      <c r="O16" s="183"/>
      <c r="P16" s="203"/>
      <c r="V16" t="s">
        <v>113</v>
      </c>
      <c r="BD16" s="304" t="s">
        <v>172</v>
      </c>
      <c r="BE16" s="318">
        <v>1182</v>
      </c>
      <c r="BF16" s="319">
        <f>H64</f>
        <v>752.490948055327</v>
      </c>
      <c r="BG16" s="319">
        <f>'Summarize-ForReg(Current&amp;2050)'!H64</f>
        <v>532.073812737528</v>
      </c>
      <c r="BH16" s="319"/>
      <c r="BI16" s="319"/>
      <c r="BJ16" s="319"/>
      <c r="BK16" s="320">
        <f>K64</f>
        <v>739.912966052155</v>
      </c>
      <c r="BL16" s="320">
        <f>'Summarize-ForReg(Current&amp;2050)'!K64</f>
        <v>511.818270961954</v>
      </c>
      <c r="BM16" s="332"/>
      <c r="BN16" s="332"/>
      <c r="BO16" s="332"/>
      <c r="BP16" s="318"/>
      <c r="BQ16" s="318"/>
      <c r="BR16" s="318"/>
      <c r="BS16" s="318"/>
    </row>
    <row r="17" customHeight="1" spans="4:71">
      <c r="D17" s="182"/>
      <c r="E17" s="467" t="s">
        <v>55</v>
      </c>
      <c r="F17" s="183"/>
      <c r="G17" s="184"/>
      <c r="H17" s="183">
        <f>'Attached-IRENA2024 report'!J65</f>
        <v>844</v>
      </c>
      <c r="I17" s="183"/>
      <c r="J17" s="183"/>
      <c r="K17" s="183"/>
      <c r="L17" s="184"/>
      <c r="M17" s="184"/>
      <c r="N17" s="184"/>
      <c r="O17" s="183"/>
      <c r="P17" s="203"/>
      <c r="V17" s="212"/>
      <c r="W17" s="213"/>
      <c r="X17" s="212" t="s">
        <v>40</v>
      </c>
      <c r="Y17" s="212"/>
      <c r="Z17" s="212"/>
      <c r="AA17" s="212"/>
      <c r="AB17" s="212"/>
      <c r="AC17" s="213"/>
      <c r="AD17" s="212" t="s">
        <v>41</v>
      </c>
      <c r="AE17" s="212"/>
      <c r="AF17" s="212"/>
      <c r="AG17" s="212"/>
      <c r="AH17" s="212"/>
      <c r="BD17" s="305" t="s">
        <v>122</v>
      </c>
      <c r="BE17" s="318" t="s">
        <v>173</v>
      </c>
      <c r="BF17" s="319" t="s">
        <v>174</v>
      </c>
      <c r="BG17" s="319">
        <v>940</v>
      </c>
      <c r="BH17" s="319">
        <v>28</v>
      </c>
      <c r="BI17" s="319">
        <v>26</v>
      </c>
      <c r="BJ17" s="319">
        <v>24</v>
      </c>
      <c r="BK17" s="320" t="s">
        <v>175</v>
      </c>
      <c r="BL17" s="320" t="s">
        <v>176</v>
      </c>
      <c r="BM17" s="332" t="s">
        <v>177</v>
      </c>
      <c r="BN17" s="332" t="s">
        <v>178</v>
      </c>
      <c r="BO17" s="332"/>
      <c r="BP17" s="318" t="s">
        <v>179</v>
      </c>
      <c r="BQ17" s="318">
        <v>860</v>
      </c>
      <c r="BR17" s="318">
        <v>24</v>
      </c>
      <c r="BS17" s="318">
        <v>22</v>
      </c>
    </row>
    <row r="18" customHeight="1" spans="4:71">
      <c r="D18" s="182"/>
      <c r="E18" s="467" t="s">
        <v>56</v>
      </c>
      <c r="F18" s="183"/>
      <c r="G18" s="184"/>
      <c r="H18" s="183">
        <f>'Attached-IRENA2024 report'!J67</f>
        <v>743</v>
      </c>
      <c r="I18" s="183"/>
      <c r="J18" s="183"/>
      <c r="K18" s="183"/>
      <c r="L18" s="184"/>
      <c r="M18" s="184"/>
      <c r="N18" s="184"/>
      <c r="O18" s="183"/>
      <c r="P18" s="203"/>
      <c r="V18" s="214">
        <v>2023</v>
      </c>
      <c r="W18" s="215"/>
      <c r="X18" s="214">
        <v>2030</v>
      </c>
      <c r="Y18" s="214">
        <v>2035</v>
      </c>
      <c r="Z18" s="214">
        <v>2040</v>
      </c>
      <c r="AA18" s="214">
        <v>2045</v>
      </c>
      <c r="AB18" s="214">
        <v>2050</v>
      </c>
      <c r="AC18" s="215"/>
      <c r="AD18" s="214">
        <v>2030</v>
      </c>
      <c r="AE18" s="214">
        <v>2035</v>
      </c>
      <c r="AF18" s="214">
        <v>2040</v>
      </c>
      <c r="AG18" s="214">
        <v>2045</v>
      </c>
      <c r="AH18" s="214">
        <v>2050</v>
      </c>
      <c r="BD18" s="305" t="s">
        <v>67</v>
      </c>
      <c r="BE18" s="318">
        <v>720</v>
      </c>
      <c r="BF18" s="319">
        <v>430</v>
      </c>
      <c r="BG18" s="319">
        <v>300</v>
      </c>
      <c r="BH18" s="319">
        <v>12</v>
      </c>
      <c r="BI18" s="319">
        <v>10</v>
      </c>
      <c r="BJ18" s="319">
        <v>10</v>
      </c>
      <c r="BK18" s="320" t="s">
        <v>180</v>
      </c>
      <c r="BL18" s="320" t="s">
        <v>181</v>
      </c>
      <c r="BM18" s="332" t="s">
        <v>164</v>
      </c>
      <c r="BN18" s="332" t="s">
        <v>182</v>
      </c>
      <c r="BO18" s="332"/>
      <c r="BP18" s="318">
        <v>410</v>
      </c>
      <c r="BQ18" s="318">
        <v>280</v>
      </c>
      <c r="BR18" s="318">
        <v>10</v>
      </c>
      <c r="BS18" s="318">
        <v>10</v>
      </c>
    </row>
    <row r="19" customHeight="1" spans="4:71">
      <c r="D19" s="182"/>
      <c r="E19" s="467" t="s">
        <v>57</v>
      </c>
      <c r="F19" s="183"/>
      <c r="G19" s="184"/>
      <c r="H19" s="183">
        <f>'Attached-IRENA2024 report'!J68</f>
        <v>716</v>
      </c>
      <c r="I19" s="183"/>
      <c r="J19" s="183"/>
      <c r="K19" s="183"/>
      <c r="L19" s="184"/>
      <c r="M19" s="184"/>
      <c r="N19" s="184"/>
      <c r="O19" s="183"/>
      <c r="P19" s="203"/>
      <c r="V19" s="216">
        <v>318.09</v>
      </c>
      <c r="W19" s="216"/>
      <c r="X19" s="216">
        <v>795.05</v>
      </c>
      <c r="Y19" s="216">
        <v>1069.78</v>
      </c>
      <c r="Z19" s="216">
        <v>1216.75</v>
      </c>
      <c r="AA19" s="216">
        <v>1302.64</v>
      </c>
      <c r="AB19" s="216">
        <v>1343.31</v>
      </c>
      <c r="AC19" s="231"/>
      <c r="AD19" s="216">
        <v>918.14</v>
      </c>
      <c r="AE19" s="216">
        <v>1214.27</v>
      </c>
      <c r="AF19" s="216">
        <v>1349.99</v>
      </c>
      <c r="AG19" s="216">
        <v>1431.75</v>
      </c>
      <c r="AH19" s="216">
        <v>1473.41</v>
      </c>
      <c r="BD19" s="305" t="s">
        <v>120</v>
      </c>
      <c r="BE19" s="318">
        <v>640</v>
      </c>
      <c r="BF19" s="319">
        <v>390</v>
      </c>
      <c r="BG19" s="319">
        <v>270</v>
      </c>
      <c r="BH19" s="319">
        <v>10</v>
      </c>
      <c r="BI19" s="319">
        <v>8</v>
      </c>
      <c r="BJ19" s="319">
        <v>8</v>
      </c>
      <c r="BK19" s="320" t="s">
        <v>183</v>
      </c>
      <c r="BL19" s="320" t="s">
        <v>184</v>
      </c>
      <c r="BM19" s="332" t="s">
        <v>185</v>
      </c>
      <c r="BN19" s="332" t="s">
        <v>186</v>
      </c>
      <c r="BO19" s="332"/>
      <c r="BP19" s="318">
        <v>360</v>
      </c>
      <c r="BQ19" s="318">
        <v>240</v>
      </c>
      <c r="BR19" s="318">
        <v>8</v>
      </c>
      <c r="BS19" s="318">
        <v>8</v>
      </c>
    </row>
    <row r="20" customHeight="1" spans="4:71">
      <c r="D20" s="182"/>
      <c r="E20" s="467" t="s">
        <v>58</v>
      </c>
      <c r="F20" s="183"/>
      <c r="G20" s="184"/>
      <c r="H20" s="183">
        <f>'Attached-IRENA2024 report'!J69</f>
        <v>705</v>
      </c>
      <c r="I20" s="183"/>
      <c r="J20" s="183"/>
      <c r="K20" s="183"/>
      <c r="L20" s="184"/>
      <c r="M20" s="184"/>
      <c r="N20" s="184"/>
      <c r="O20" s="183"/>
      <c r="P20" s="203"/>
      <c r="BD20" s="305" t="s">
        <v>187</v>
      </c>
      <c r="BE20" s="318">
        <v>1505</v>
      </c>
      <c r="BF20" s="319">
        <f>'Summari-ForCount (2030)'!H67</f>
        <v>1110.25018422535</v>
      </c>
      <c r="BG20" s="319">
        <f>'Summari-ForCount (Current&amp;2050)'!H67</f>
        <v>664.038611223518</v>
      </c>
      <c r="BH20" s="319"/>
      <c r="BI20" s="319"/>
      <c r="BJ20" s="319"/>
      <c r="BK20" s="320">
        <f>'Summari-ForCount (2030)'!K67</f>
        <v>887.561219592132</v>
      </c>
      <c r="BL20" s="320">
        <f>'Summari-ForCount (Current&amp;2050)'!K67</f>
        <v>486.261344457305</v>
      </c>
      <c r="BM20" s="332"/>
      <c r="BN20" s="332"/>
      <c r="BO20" s="332"/>
      <c r="BP20" s="318"/>
      <c r="BQ20" s="318"/>
      <c r="BR20" s="318"/>
      <c r="BS20" s="318"/>
    </row>
    <row r="21" customHeight="1" spans="4:71">
      <c r="D21" s="182"/>
      <c r="E21" s="468" t="s">
        <v>59</v>
      </c>
      <c r="F21" s="183"/>
      <c r="G21" s="184"/>
      <c r="H21" s="183">
        <f>'Attached-IRENA2024 report'!J70</f>
        <v>700</v>
      </c>
      <c r="I21" s="183"/>
      <c r="J21" s="183"/>
      <c r="K21" s="183"/>
      <c r="L21" s="184"/>
      <c r="M21" s="184"/>
      <c r="N21" s="184"/>
      <c r="O21" s="183"/>
      <c r="P21" s="203"/>
      <c r="BD21" s="304" t="s">
        <v>119</v>
      </c>
      <c r="BE21" s="318">
        <v>620</v>
      </c>
      <c r="BF21" s="319">
        <v>360</v>
      </c>
      <c r="BG21" s="319">
        <v>250</v>
      </c>
      <c r="BH21" s="319">
        <v>10</v>
      </c>
      <c r="BI21" s="319">
        <v>8</v>
      </c>
      <c r="BJ21" s="319">
        <v>8</v>
      </c>
      <c r="BK21" s="320" t="s">
        <v>188</v>
      </c>
      <c r="BL21" s="320" t="s">
        <v>189</v>
      </c>
      <c r="BM21" s="332" t="s">
        <v>182</v>
      </c>
      <c r="BN21" s="332" t="s">
        <v>190</v>
      </c>
      <c r="BO21" s="332"/>
      <c r="BP21" s="318">
        <v>330</v>
      </c>
      <c r="BQ21" s="318">
        <v>220</v>
      </c>
      <c r="BR21" s="318">
        <v>8</v>
      </c>
      <c r="BS21" s="318">
        <v>8</v>
      </c>
    </row>
    <row r="22" customHeight="1" spans="4:71">
      <c r="D22" s="182"/>
      <c r="E22" s="183" t="s">
        <v>60</v>
      </c>
      <c r="F22" s="183"/>
      <c r="G22" s="184"/>
      <c r="H22" s="183">
        <f>'Attached-IRENA2024 report'!J71</f>
        <v>686</v>
      </c>
      <c r="I22" s="183"/>
      <c r="J22" s="183"/>
      <c r="K22" s="183"/>
      <c r="L22" s="184"/>
      <c r="M22" s="184"/>
      <c r="N22" s="184"/>
      <c r="O22" s="183"/>
      <c r="P22" s="203"/>
      <c r="V22" t="s">
        <v>76</v>
      </c>
      <c r="BD22" s="304" t="s">
        <v>121</v>
      </c>
      <c r="BE22" s="318" t="s">
        <v>191</v>
      </c>
      <c r="BF22" s="319">
        <v>850</v>
      </c>
      <c r="BG22" s="319">
        <v>580</v>
      </c>
      <c r="BH22" s="319">
        <v>22</v>
      </c>
      <c r="BI22" s="319">
        <v>20</v>
      </c>
      <c r="BJ22" s="319">
        <v>18</v>
      </c>
      <c r="BK22" s="320" t="s">
        <v>192</v>
      </c>
      <c r="BL22" s="320" t="s">
        <v>193</v>
      </c>
      <c r="BM22" s="332" t="s">
        <v>158</v>
      </c>
      <c r="BN22" s="332" t="s">
        <v>185</v>
      </c>
      <c r="BO22" s="332"/>
      <c r="BP22" s="318">
        <v>760</v>
      </c>
      <c r="BQ22" s="318">
        <v>490</v>
      </c>
      <c r="BR22" s="318">
        <v>18</v>
      </c>
      <c r="BS22" s="318">
        <v>18</v>
      </c>
    </row>
    <row r="23" customHeight="1" spans="4:71">
      <c r="D23" s="182"/>
      <c r="E23" s="467" t="s">
        <v>61</v>
      </c>
      <c r="F23" s="183"/>
      <c r="G23" s="184"/>
      <c r="H23" s="183">
        <f>'Attached-IRENA2024 report'!J72</f>
        <v>684</v>
      </c>
      <c r="I23" s="183"/>
      <c r="J23" s="183"/>
      <c r="K23" s="183"/>
      <c r="L23" s="184"/>
      <c r="M23" s="184"/>
      <c r="N23" s="184"/>
      <c r="O23" s="183"/>
      <c r="P23" s="203"/>
      <c r="V23" s="212"/>
      <c r="W23" s="213"/>
      <c r="X23" s="212" t="s">
        <v>40</v>
      </c>
      <c r="Y23" s="212"/>
      <c r="Z23" s="212"/>
      <c r="AA23" s="212"/>
      <c r="AB23" s="212"/>
      <c r="AC23" s="213"/>
      <c r="AD23" s="212" t="s">
        <v>41</v>
      </c>
      <c r="AE23" s="212"/>
      <c r="AF23" s="212"/>
      <c r="AG23" s="212"/>
      <c r="AH23" s="212"/>
      <c r="BD23" s="306" t="s">
        <v>194</v>
      </c>
      <c r="BE23" s="321">
        <v>1019</v>
      </c>
      <c r="BF23" s="322">
        <f>H61</f>
        <v>773.683962297009</v>
      </c>
      <c r="BG23" s="322">
        <f>'Summarize-ForReg(Current&amp;2050)'!H61</f>
        <v>605.730610429214</v>
      </c>
      <c r="BH23" s="322"/>
      <c r="BI23" s="322"/>
      <c r="BJ23" s="322"/>
      <c r="BK23" s="323">
        <f>K61</f>
        <v>673.348753262362</v>
      </c>
      <c r="BL23" s="323">
        <f>'Summarize-ForReg(Current&amp;2050)'!K61</f>
        <v>473.276200153804</v>
      </c>
      <c r="BM23" s="333"/>
      <c r="BN23" s="333"/>
      <c r="BO23" s="333"/>
      <c r="BP23" s="321"/>
      <c r="BQ23" s="321"/>
      <c r="BR23" s="321"/>
      <c r="BS23" s="321"/>
    </row>
    <row r="24" customHeight="1" spans="4:71">
      <c r="D24" s="182"/>
      <c r="E24" s="183" t="s">
        <v>62</v>
      </c>
      <c r="F24" s="183"/>
      <c r="G24" s="184"/>
      <c r="H24" s="183">
        <f>'Attached-IRENA2024 report'!J73</f>
        <v>678</v>
      </c>
      <c r="I24" s="204">
        <f>'Attached-IEA2020Projected Costs'!K6</f>
        <v>729.55348213275</v>
      </c>
      <c r="J24" s="204">
        <f>'Attached-IEA2020Projected Costs'!L6</f>
        <v>743.584641810447</v>
      </c>
      <c r="K24" s="204">
        <f>'Attached-IEA2020Projected Costs'!M6</f>
        <v>753.936666252302</v>
      </c>
      <c r="L24" s="205">
        <f>'Attached-IEA2020Projected Costs'!K6</f>
        <v>729.55348213275</v>
      </c>
      <c r="M24" s="205">
        <f>'Attached-IEA2020Projected Costs'!L6</f>
        <v>743.584641810447</v>
      </c>
      <c r="N24" s="205">
        <f>'Attached-IEA2020Projected Costs'!M6</f>
        <v>753.936666252302</v>
      </c>
      <c r="O24" s="183"/>
      <c r="P24" s="203"/>
      <c r="V24" s="214">
        <v>2023</v>
      </c>
      <c r="W24" s="215"/>
      <c r="X24" s="214">
        <v>2030</v>
      </c>
      <c r="Y24" s="214">
        <v>2035</v>
      </c>
      <c r="Z24" s="214">
        <v>2040</v>
      </c>
      <c r="AA24" s="214">
        <v>2045</v>
      </c>
      <c r="AB24" s="214">
        <v>2050</v>
      </c>
      <c r="AC24" s="215"/>
      <c r="AD24" s="214">
        <v>2030</v>
      </c>
      <c r="AE24" s="214">
        <v>2035</v>
      </c>
      <c r="AF24" s="214">
        <v>2040</v>
      </c>
      <c r="AG24" s="214">
        <v>2045</v>
      </c>
      <c r="AH24" s="214">
        <v>2050</v>
      </c>
      <c r="BD24" s="307" t="s">
        <v>115</v>
      </c>
      <c r="BE24" s="321">
        <v>750</v>
      </c>
      <c r="BF24" s="322">
        <v>460</v>
      </c>
      <c r="BG24" s="322">
        <v>330</v>
      </c>
      <c r="BH24" s="322">
        <v>12</v>
      </c>
      <c r="BI24" s="322">
        <v>10</v>
      </c>
      <c r="BJ24" s="322">
        <v>10</v>
      </c>
      <c r="BK24" s="323" t="s">
        <v>195</v>
      </c>
      <c r="BL24" s="323" t="s">
        <v>196</v>
      </c>
      <c r="BM24" s="333" t="s">
        <v>197</v>
      </c>
      <c r="BN24" s="333" t="s">
        <v>164</v>
      </c>
      <c r="BO24" s="333"/>
      <c r="BP24" s="321">
        <v>430</v>
      </c>
      <c r="BQ24" s="321">
        <v>300</v>
      </c>
      <c r="BR24" s="321">
        <v>10</v>
      </c>
      <c r="BS24" s="321">
        <v>10</v>
      </c>
    </row>
    <row r="25" customHeight="1" spans="4:71">
      <c r="D25" s="182"/>
      <c r="E25" s="467" t="s">
        <v>63</v>
      </c>
      <c r="F25" s="183"/>
      <c r="G25" s="184"/>
      <c r="H25" s="183">
        <f>'Attached-IRENA2024 report'!J74</f>
        <v>663</v>
      </c>
      <c r="I25" s="183"/>
      <c r="J25" s="183"/>
      <c r="K25" s="183"/>
      <c r="L25" s="184"/>
      <c r="M25" s="184"/>
      <c r="N25" s="184"/>
      <c r="O25" s="183"/>
      <c r="P25" s="203"/>
      <c r="V25" s="216">
        <v>4.7</v>
      </c>
      <c r="W25" s="216"/>
      <c r="X25" s="216">
        <v>17.21</v>
      </c>
      <c r="Y25" s="216">
        <v>22.8</v>
      </c>
      <c r="Z25" s="216">
        <v>27.15</v>
      </c>
      <c r="AA25" s="216">
        <v>30.57</v>
      </c>
      <c r="AB25" s="216">
        <v>33.41</v>
      </c>
      <c r="AC25" s="231"/>
      <c r="AD25" s="216">
        <v>21.67</v>
      </c>
      <c r="AE25" s="216">
        <v>36.9</v>
      </c>
      <c r="AF25" s="216">
        <v>51.96</v>
      </c>
      <c r="AG25" s="216">
        <v>65.8</v>
      </c>
      <c r="AH25" s="216">
        <v>80.19</v>
      </c>
      <c r="BD25" s="303" t="s">
        <v>93</v>
      </c>
      <c r="BE25" s="316"/>
      <c r="BF25" s="324"/>
      <c r="BG25" s="324"/>
      <c r="BH25" s="324"/>
      <c r="BI25" s="324"/>
      <c r="BJ25" s="324"/>
      <c r="BK25" s="325"/>
      <c r="BL25" s="325"/>
      <c r="BM25" s="311"/>
      <c r="BN25" s="311"/>
      <c r="BO25" s="311"/>
      <c r="BP25" s="316"/>
      <c r="BQ25" s="316"/>
      <c r="BR25" s="316"/>
      <c r="BS25" s="316"/>
    </row>
    <row r="26" customHeight="1" spans="4:71">
      <c r="D26" s="182"/>
      <c r="E26" s="467" t="s">
        <v>64</v>
      </c>
      <c r="F26" s="183"/>
      <c r="G26" s="184"/>
      <c r="H26" s="183">
        <f>'Attached-IRENA2024 report'!J75</f>
        <v>659</v>
      </c>
      <c r="I26" s="183"/>
      <c r="J26" s="183"/>
      <c r="K26" s="183"/>
      <c r="L26" s="184"/>
      <c r="M26" s="184"/>
      <c r="N26" s="184"/>
      <c r="O26" s="183"/>
      <c r="P26" s="203"/>
      <c r="BD26" s="304" t="s">
        <v>155</v>
      </c>
      <c r="BE26" s="318">
        <v>1166</v>
      </c>
      <c r="BF26" s="319">
        <v>868</v>
      </c>
      <c r="BG26" s="319">
        <f>'Summarize-ForReg(Current&amp;2050)'!I60</f>
        <v>725.162557013908</v>
      </c>
      <c r="BH26" s="319"/>
      <c r="BI26" s="319"/>
      <c r="BJ26" s="319"/>
      <c r="BK26" s="320">
        <f>L60</f>
        <v>819.671002609006</v>
      </c>
      <c r="BL26" s="320">
        <f>'Summarize-ForReg(Current&amp;2050)'!L60</f>
        <v>703.899743344181</v>
      </c>
      <c r="BM26" s="332"/>
      <c r="BN26" s="332"/>
      <c r="BO26" s="332"/>
      <c r="BP26" s="318"/>
      <c r="BQ26" s="318"/>
      <c r="BR26" s="318"/>
      <c r="BS26" s="318"/>
    </row>
    <row r="27" customHeight="1" spans="4:71">
      <c r="D27" s="182"/>
      <c r="E27" s="182" t="s">
        <v>65</v>
      </c>
      <c r="F27" s="183"/>
      <c r="G27" s="184"/>
      <c r="H27" s="183"/>
      <c r="I27" s="183">
        <f>AVERAGE('Attached-IEA2020Projected Costs'!K17:K18)</f>
        <v>587.434644685279</v>
      </c>
      <c r="J27" s="183">
        <f>AVERAGE('Attached-IEA2020Projected Costs'!L17:L18)</f>
        <v>598.732499471325</v>
      </c>
      <c r="K27" s="183">
        <f>AVERAGE('Attached-IEA2020Projected Costs'!M17:M18)</f>
        <v>607.067923739326</v>
      </c>
      <c r="L27" s="184">
        <f>AVERAGE('Attached-IEA2020Projected Costs'!K15:K16)</f>
        <v>1026.75331645407</v>
      </c>
      <c r="M27" s="184">
        <f>AVERAGE('Attached-IEA2020Projected Costs'!L15:L16)</f>
        <v>1046.50038104303</v>
      </c>
      <c r="N27" s="184">
        <f>AVERAGE('Attached-IEA2020Projected Costs'!M15:M16)</f>
        <v>1061.06953284341</v>
      </c>
      <c r="O27" s="183"/>
      <c r="P27" s="203"/>
      <c r="BD27" s="305" t="s">
        <v>39</v>
      </c>
      <c r="BE27" s="318" t="s">
        <v>198</v>
      </c>
      <c r="BF27" s="319">
        <v>840</v>
      </c>
      <c r="BG27" s="319">
        <v>620</v>
      </c>
      <c r="BH27" s="319">
        <v>20</v>
      </c>
      <c r="BI27" s="319">
        <v>18</v>
      </c>
      <c r="BJ27" s="319">
        <v>18</v>
      </c>
      <c r="BK27" s="320" t="s">
        <v>199</v>
      </c>
      <c r="BL27" s="320" t="s">
        <v>200</v>
      </c>
      <c r="BM27" s="332" t="s">
        <v>201</v>
      </c>
      <c r="BN27" s="332" t="s">
        <v>171</v>
      </c>
      <c r="BO27" s="332"/>
      <c r="BP27" s="318">
        <v>800</v>
      </c>
      <c r="BQ27" s="318">
        <v>570</v>
      </c>
      <c r="BR27" s="318">
        <v>18</v>
      </c>
      <c r="BS27" s="318">
        <v>14</v>
      </c>
    </row>
    <row r="28" customHeight="1" spans="4:71">
      <c r="D28" s="182"/>
      <c r="E28" s="182" t="s">
        <v>66</v>
      </c>
      <c r="F28" s="183"/>
      <c r="G28" s="184"/>
      <c r="H28" s="183"/>
      <c r="I28" s="183"/>
      <c r="J28" s="183"/>
      <c r="K28" s="183"/>
      <c r="L28" s="205">
        <f>'Attached-IEA2020Projected Costs'!K40</f>
        <v>998.35391971396</v>
      </c>
      <c r="M28" s="205">
        <f>'Attached-IEA2020Projected Costs'!L40</f>
        <v>1017.55479203577</v>
      </c>
      <c r="N28" s="205">
        <f>'Attached-IEA2020Projected Costs'!M40</f>
        <v>1031.72096961097</v>
      </c>
      <c r="O28" s="183"/>
      <c r="P28" s="203"/>
      <c r="V28" t="s">
        <v>118</v>
      </c>
      <c r="BD28" s="304" t="s">
        <v>160</v>
      </c>
      <c r="BE28" s="318">
        <v>2238</v>
      </c>
      <c r="BF28" s="319">
        <f>I62</f>
        <v>1529.56073130042</v>
      </c>
      <c r="BG28" s="319">
        <f>'Summarize-ForReg(Current&amp;2050)'!I62</f>
        <v>1043.15992701706</v>
      </c>
      <c r="BH28" s="319"/>
      <c r="BI28" s="319"/>
      <c r="BJ28" s="319"/>
      <c r="BK28" s="320">
        <f>L62</f>
        <v>1418.27574841391</v>
      </c>
      <c r="BL28" s="320">
        <f>'Summarize-ForReg(Current&amp;2050)'!L62</f>
        <v>991.308118923209</v>
      </c>
      <c r="BM28" s="332"/>
      <c r="BN28" s="332"/>
      <c r="BO28" s="332"/>
      <c r="BP28" s="318"/>
      <c r="BQ28" s="318"/>
      <c r="BR28" s="318"/>
      <c r="BS28" s="318"/>
    </row>
    <row r="29" customHeight="1" spans="4:71">
      <c r="D29" s="182"/>
      <c r="E29" s="182" t="s">
        <v>68</v>
      </c>
      <c r="F29" s="183"/>
      <c r="G29" s="184"/>
      <c r="H29" s="183"/>
      <c r="I29" s="183"/>
      <c r="J29" s="183"/>
      <c r="K29" s="183"/>
      <c r="L29" s="184"/>
      <c r="M29" s="184"/>
      <c r="N29" s="184"/>
      <c r="O29" s="183"/>
      <c r="P29" s="203"/>
      <c r="V29" s="212"/>
      <c r="W29" s="213"/>
      <c r="X29" s="212" t="s">
        <v>40</v>
      </c>
      <c r="Y29" s="212"/>
      <c r="Z29" s="212"/>
      <c r="AA29" s="212"/>
      <c r="AB29" s="212"/>
      <c r="AC29" s="213"/>
      <c r="AD29" s="212" t="s">
        <v>41</v>
      </c>
      <c r="AE29" s="212"/>
      <c r="AF29" s="212"/>
      <c r="AG29" s="212"/>
      <c r="AH29" s="212"/>
      <c r="BD29" s="305" t="s">
        <v>37</v>
      </c>
      <c r="BE29" s="318" t="s">
        <v>202</v>
      </c>
      <c r="BF29" s="319" t="s">
        <v>203</v>
      </c>
      <c r="BG29" s="319" t="s">
        <v>204</v>
      </c>
      <c r="BH29" s="319">
        <v>52</v>
      </c>
      <c r="BI29" s="319">
        <v>48</v>
      </c>
      <c r="BJ29" s="319">
        <v>44</v>
      </c>
      <c r="BK29" s="320" t="s">
        <v>205</v>
      </c>
      <c r="BL29" s="320" t="s">
        <v>206</v>
      </c>
      <c r="BM29" s="332" t="s">
        <v>207</v>
      </c>
      <c r="BN29" s="332" t="s">
        <v>208</v>
      </c>
      <c r="BO29" s="332"/>
      <c r="BP29" s="318" t="s">
        <v>209</v>
      </c>
      <c r="BQ29" s="318" t="s">
        <v>210</v>
      </c>
      <c r="BR29" s="318">
        <v>46</v>
      </c>
      <c r="BS29" s="318">
        <v>44</v>
      </c>
    </row>
    <row r="30" customHeight="1" spans="4:71">
      <c r="D30" s="182" t="s">
        <v>69</v>
      </c>
      <c r="E30" s="182" t="s">
        <v>70</v>
      </c>
      <c r="F30" s="183"/>
      <c r="G30" s="184"/>
      <c r="H30" s="188">
        <f>'Attached-IRENA2024 report'!J50</f>
        <v>953.806790727526</v>
      </c>
      <c r="I30" s="183"/>
      <c r="J30" s="183"/>
      <c r="K30" s="183"/>
      <c r="L30" s="184"/>
      <c r="M30" s="184"/>
      <c r="N30" s="184"/>
      <c r="O30" s="183"/>
      <c r="P30" s="203"/>
      <c r="V30" s="214">
        <v>2023</v>
      </c>
      <c r="W30" s="215"/>
      <c r="X30" s="214">
        <v>2030</v>
      </c>
      <c r="Y30" s="214">
        <v>2035</v>
      </c>
      <c r="Z30" s="214">
        <v>2040</v>
      </c>
      <c r="AA30" s="214">
        <v>2045</v>
      </c>
      <c r="AB30" s="214">
        <v>2050</v>
      </c>
      <c r="AC30" s="215"/>
      <c r="AD30" s="214">
        <v>2030</v>
      </c>
      <c r="AE30" s="214">
        <v>2035</v>
      </c>
      <c r="AF30" s="214">
        <v>2040</v>
      </c>
      <c r="AG30" s="214">
        <v>2045</v>
      </c>
      <c r="AH30" s="214">
        <v>2050</v>
      </c>
      <c r="BD30" s="304" t="s">
        <v>165</v>
      </c>
      <c r="BE30" s="318">
        <v>2210</v>
      </c>
      <c r="BF30" s="319">
        <f>I63</f>
        <v>1060.13330322579</v>
      </c>
      <c r="BG30" s="319">
        <f>'Summarize-ForReg(Current&amp;2050)'!I63</f>
        <v>856.277255414015</v>
      </c>
      <c r="BH30" s="319"/>
      <c r="BI30" s="319"/>
      <c r="BJ30" s="319"/>
      <c r="BK30" s="320">
        <f>L63</f>
        <v>984.33413207503</v>
      </c>
      <c r="BL30" s="320">
        <f>'Summarize-ForReg(Current&amp;2050)'!L63</f>
        <v>645.956490378961</v>
      </c>
      <c r="BM30" s="332"/>
      <c r="BN30" s="332"/>
      <c r="BO30" s="332"/>
      <c r="BP30" s="318"/>
      <c r="BQ30" s="318"/>
      <c r="BR30" s="318"/>
      <c r="BS30" s="318"/>
    </row>
    <row r="31" customHeight="1" spans="4:71">
      <c r="D31" s="182"/>
      <c r="E31" s="468" t="s">
        <v>71</v>
      </c>
      <c r="F31" s="183"/>
      <c r="G31" s="184"/>
      <c r="H31" s="183">
        <f>'Attached-IRENA2024 report'!J53</f>
        <v>830</v>
      </c>
      <c r="I31" s="183"/>
      <c r="J31" s="183"/>
      <c r="K31" s="183"/>
      <c r="L31" s="184"/>
      <c r="M31" s="184"/>
      <c r="N31" s="184"/>
      <c r="O31" s="183"/>
      <c r="P31" s="203"/>
      <c r="V31" s="216">
        <v>1005.71</v>
      </c>
      <c r="W31" s="216"/>
      <c r="X31" s="216">
        <v>4084.58</v>
      </c>
      <c r="Y31" s="216">
        <v>6629.81</v>
      </c>
      <c r="Z31" s="216">
        <v>9040.8</v>
      </c>
      <c r="AA31" s="216">
        <v>11049.3</v>
      </c>
      <c r="AB31" s="216">
        <v>11987.66</v>
      </c>
      <c r="AC31" s="231"/>
      <c r="AD31" s="216">
        <v>4304.15</v>
      </c>
      <c r="AE31" s="216">
        <v>7182.92</v>
      </c>
      <c r="AF31" s="216">
        <v>10076.95</v>
      </c>
      <c r="AG31" s="216">
        <v>12366.68</v>
      </c>
      <c r="AH31" s="216">
        <v>13523.66</v>
      </c>
      <c r="BD31" s="305" t="s">
        <v>117</v>
      </c>
      <c r="BE31" s="318" t="s">
        <v>211</v>
      </c>
      <c r="BF31" s="319" t="s">
        <v>212</v>
      </c>
      <c r="BG31" s="319" t="s">
        <v>213</v>
      </c>
      <c r="BH31" s="319">
        <v>34</v>
      </c>
      <c r="BI31" s="319">
        <v>30</v>
      </c>
      <c r="BJ31" s="319">
        <v>28</v>
      </c>
      <c r="BK31" s="320" t="s">
        <v>214</v>
      </c>
      <c r="BL31" s="320" t="s">
        <v>215</v>
      </c>
      <c r="BM31" s="332" t="s">
        <v>216</v>
      </c>
      <c r="BN31" s="332" t="s">
        <v>217</v>
      </c>
      <c r="BO31" s="332"/>
      <c r="BP31" s="318" t="s">
        <v>218</v>
      </c>
      <c r="BQ31" s="318">
        <v>760</v>
      </c>
      <c r="BR31" s="318">
        <v>30</v>
      </c>
      <c r="BS31" s="318">
        <v>28</v>
      </c>
    </row>
    <row r="32" customHeight="1" spans="4:71">
      <c r="D32" s="182"/>
      <c r="E32" s="182" t="s">
        <v>14</v>
      </c>
      <c r="F32" s="185">
        <f>Attached_WEO2023!B18</f>
        <v>730</v>
      </c>
      <c r="G32" s="186">
        <f>Attached_WEO2023!F18</f>
        <v>560</v>
      </c>
      <c r="H32" s="188">
        <f>'Attached-IRENA2024 report'!J48</f>
        <v>726.985591214851</v>
      </c>
      <c r="I32" s="204">
        <f>'Attached-IEA2020Projected Costs'!K60</f>
        <v>1215.20326226019</v>
      </c>
      <c r="J32" s="204">
        <f>'Attached-IEA2020Projected Costs'!L60</f>
        <v>1238.57469620056</v>
      </c>
      <c r="K32" s="204">
        <f>'Attached-IEA2020Projected Costs'!M60</f>
        <v>1255.81786504401</v>
      </c>
      <c r="L32" s="184"/>
      <c r="M32" s="184"/>
      <c r="N32" s="184"/>
      <c r="O32" s="183">
        <f>'Attached-DIB_GNESTE_Solar_Power'!V134</f>
        <v>1382.1652</v>
      </c>
      <c r="P32" s="203"/>
      <c r="BD32" s="304" t="s">
        <v>172</v>
      </c>
      <c r="BE32" s="318">
        <v>1605</v>
      </c>
      <c r="BF32" s="319">
        <f>I64</f>
        <v>1022.46034471561</v>
      </c>
      <c r="BG32" s="319">
        <f>'Summarize-ForReg(Current&amp;2050)'!I64</f>
        <v>722.964675378075</v>
      </c>
      <c r="BH32" s="319"/>
      <c r="BI32" s="319"/>
      <c r="BJ32" s="319"/>
      <c r="BK32" s="320">
        <f>L64</f>
        <v>1005.36978987501</v>
      </c>
      <c r="BL32" s="320">
        <f>'Summarize-ForReg(Current&amp;2050)'!L64</f>
        <v>695.442100814518</v>
      </c>
      <c r="BM32" s="332"/>
      <c r="BN32" s="332"/>
      <c r="BO32" s="332"/>
      <c r="BP32" s="318"/>
      <c r="BQ32" s="318"/>
      <c r="BR32" s="318"/>
      <c r="BS32" s="318"/>
    </row>
    <row r="33" customHeight="1" spans="4:71">
      <c r="D33" s="182"/>
      <c r="E33" s="182" t="s">
        <v>69</v>
      </c>
      <c r="F33" s="183"/>
      <c r="G33" s="184"/>
      <c r="H33" s="183"/>
      <c r="I33" s="183"/>
      <c r="J33" s="183"/>
      <c r="K33" s="183"/>
      <c r="L33" s="184"/>
      <c r="M33" s="184"/>
      <c r="N33" s="184"/>
      <c r="O33" s="183">
        <f>'Attached-DIB_GNESTE_Solar_Power'!AA338</f>
        <v>819.859340854</v>
      </c>
      <c r="P33" s="203"/>
      <c r="BD33" s="305" t="s">
        <v>122</v>
      </c>
      <c r="BE33" s="318" t="s">
        <v>219</v>
      </c>
      <c r="BF33" s="319" t="s">
        <v>142</v>
      </c>
      <c r="BG33" s="319">
        <v>990</v>
      </c>
      <c r="BH33" s="319">
        <v>28</v>
      </c>
      <c r="BI33" s="319">
        <v>26</v>
      </c>
      <c r="BJ33" s="319">
        <v>24</v>
      </c>
      <c r="BK33" s="320" t="s">
        <v>220</v>
      </c>
      <c r="BL33" s="320" t="s">
        <v>221</v>
      </c>
      <c r="BM33" s="332" t="s">
        <v>177</v>
      </c>
      <c r="BN33" s="332" t="s">
        <v>178</v>
      </c>
      <c r="BO33" s="332"/>
      <c r="BP33" s="318" t="s">
        <v>222</v>
      </c>
      <c r="BQ33" s="318">
        <v>910</v>
      </c>
      <c r="BR33" s="318">
        <v>24</v>
      </c>
      <c r="BS33" s="318">
        <v>22</v>
      </c>
    </row>
    <row r="34" customHeight="1" spans="4:71">
      <c r="D34" s="182" t="s">
        <v>72</v>
      </c>
      <c r="E34" s="193" t="s">
        <v>7</v>
      </c>
      <c r="F34" s="185">
        <f>Attached_WEO2023!B13</f>
        <v>1110</v>
      </c>
      <c r="G34" s="186">
        <f>Attached_WEO2023!F13</f>
        <v>3460</v>
      </c>
      <c r="H34" s="188">
        <f>'Attached-IRENA2024 report'!J42</f>
        <v>1108.53043557463</v>
      </c>
      <c r="I34" s="183">
        <f>AVERAGE('Attached-IEA2020Projected Costs'!K51:K55)</f>
        <v>1087.63698238114</v>
      </c>
      <c r="J34" s="183">
        <f>AVERAGE('Attached-IEA2020Projected Costs'!L51:L55)</f>
        <v>1108.55499393877</v>
      </c>
      <c r="K34" s="183">
        <f>AVERAGE('Attached-IEA2020Projected Costs'!M51:M55)</f>
        <v>1123.98805662878</v>
      </c>
      <c r="L34" s="184">
        <f>AVERAGE('Attached-IEA2020Projected Costs'!K41:K50)</f>
        <v>1789.23173252988</v>
      </c>
      <c r="M34" s="184">
        <f>AVERAGE('Attached-IEA2020Projected Costs'!L41:L50)</f>
        <v>1823.64318659647</v>
      </c>
      <c r="N34" s="184">
        <f>AVERAGE('Attached-IEA2020Projected Costs'!M41:M50)</f>
        <v>1849.031552331</v>
      </c>
      <c r="O34" s="183">
        <f>AVERAGE('Attached-DIB_GNESTE_Solar_Power'!V15,'Attached-DIB_GNESTE_Solar_Power'!Z17:Z310,'Attached-DIB_GNESTE_Solar_Power'!AB313:AB315,'Attached-DIB_GNESTE_Solar_Power'!Z319,'Attached-DIB_GNESTE_Solar_Power'!X325,'Attached-DIB_GNESTE_Solar_Power'!Y326,'Attached-DIB_GNESTE_Solar_Power'!X331,'Attached-DIB_GNESTE_Solar_Power'!Y332)</f>
        <v>1349.03034357143</v>
      </c>
      <c r="P34" s="203"/>
      <c r="BD34" s="305" t="s">
        <v>67</v>
      </c>
      <c r="BE34" s="318">
        <v>800</v>
      </c>
      <c r="BF34" s="319">
        <v>480</v>
      </c>
      <c r="BG34" s="319">
        <v>340</v>
      </c>
      <c r="BH34" s="319">
        <v>14</v>
      </c>
      <c r="BI34" s="319">
        <v>12</v>
      </c>
      <c r="BJ34" s="319">
        <v>12</v>
      </c>
      <c r="BK34" s="320" t="s">
        <v>223</v>
      </c>
      <c r="BL34" s="320" t="s">
        <v>224</v>
      </c>
      <c r="BM34" s="332" t="s">
        <v>197</v>
      </c>
      <c r="BN34" s="332" t="s">
        <v>185</v>
      </c>
      <c r="BO34" s="332"/>
      <c r="BP34" s="318">
        <v>450</v>
      </c>
      <c r="BQ34" s="318">
        <v>320</v>
      </c>
      <c r="BR34" s="318">
        <v>10</v>
      </c>
      <c r="BS34" s="318">
        <v>10</v>
      </c>
    </row>
    <row r="35" customHeight="1" spans="4:71">
      <c r="D35" s="182"/>
      <c r="E35" s="182" t="s">
        <v>73</v>
      </c>
      <c r="F35" s="183"/>
      <c r="G35" s="184"/>
      <c r="H35" s="188">
        <f>'Attached-IRENA2024 report'!J38</f>
        <v>1336.5220886681</v>
      </c>
      <c r="I35" s="183">
        <f>AVERAGE('Attached-IEA2020Projected Costs'!K13:K14)</f>
        <v>1328.76929204818</v>
      </c>
      <c r="J35" s="183">
        <f>AVERAGE('Attached-IEA2020Projected Costs'!L13:L14)</f>
        <v>1354.32488813285</v>
      </c>
      <c r="K35" s="183">
        <f>AVERAGE('Attached-IEA2020Projected Costs'!M13:M14)</f>
        <v>1373.17950609542</v>
      </c>
      <c r="L35" s="184"/>
      <c r="M35" s="184"/>
      <c r="N35" s="184"/>
      <c r="O35" s="183"/>
      <c r="P35" s="203"/>
      <c r="BD35" s="305" t="s">
        <v>120</v>
      </c>
      <c r="BE35" s="318">
        <v>700</v>
      </c>
      <c r="BF35" s="319">
        <v>430</v>
      </c>
      <c r="BG35" s="319">
        <v>290</v>
      </c>
      <c r="BH35" s="319">
        <v>10</v>
      </c>
      <c r="BI35" s="319">
        <v>10</v>
      </c>
      <c r="BJ35" s="319">
        <v>8</v>
      </c>
      <c r="BK35" s="320" t="s">
        <v>225</v>
      </c>
      <c r="BL35" s="320" t="s">
        <v>226</v>
      </c>
      <c r="BM35" s="332" t="s">
        <v>185</v>
      </c>
      <c r="BN35" s="332" t="s">
        <v>186</v>
      </c>
      <c r="BO35" s="332"/>
      <c r="BP35" s="318">
        <v>390</v>
      </c>
      <c r="BQ35" s="318">
        <v>260</v>
      </c>
      <c r="BR35" s="318">
        <v>10</v>
      </c>
      <c r="BS35" s="318">
        <v>8</v>
      </c>
    </row>
    <row r="36" customHeight="1" spans="4:71">
      <c r="D36" s="182"/>
      <c r="E36" s="182" t="s">
        <v>74</v>
      </c>
      <c r="F36" s="183"/>
      <c r="G36" s="184"/>
      <c r="H36" s="188">
        <f>'Attached-IRENA2024 report'!J40</f>
        <v>1049.51721777189</v>
      </c>
      <c r="I36" s="183"/>
      <c r="J36" s="183"/>
      <c r="K36" s="183"/>
      <c r="L36" s="184"/>
      <c r="M36" s="184"/>
      <c r="N36" s="184"/>
      <c r="O36" s="183">
        <f>'Attached-DIB_GNESTE_Solar_Power'!V137</f>
        <v>990.405</v>
      </c>
      <c r="P36" s="203"/>
      <c r="V36" s="217" t="s">
        <v>75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BD36" s="305" t="s">
        <v>187</v>
      </c>
      <c r="BE36" s="318">
        <v>1605</v>
      </c>
      <c r="BF36" s="319">
        <f>'Summari-ForCount (2030)'!I67</f>
        <v>1184.30801960301</v>
      </c>
      <c r="BG36" s="319">
        <f>'Summari-ForCount (Current&amp;2050)'!I67</f>
        <v>708.33246755709</v>
      </c>
      <c r="BH36" s="319"/>
      <c r="BI36" s="319"/>
      <c r="BJ36" s="319"/>
      <c r="BK36" s="320">
        <f>'Summari-ForCount (2030)'!L67</f>
        <v>946.764869023642</v>
      </c>
      <c r="BL36" s="320">
        <f>'Summari-ForCount (Current&amp;2050)'!L67</f>
        <v>518.696792890456</v>
      </c>
      <c r="BM36" s="332"/>
      <c r="BN36" s="332"/>
      <c r="BO36" s="332"/>
      <c r="BP36" s="318"/>
      <c r="BQ36" s="318"/>
      <c r="BR36" s="318"/>
      <c r="BS36" s="318"/>
    </row>
    <row r="37" spans="4:71">
      <c r="D37" s="182"/>
      <c r="E37" s="182" t="s">
        <v>72</v>
      </c>
      <c r="F37" s="183"/>
      <c r="G37" s="184"/>
      <c r="H37" s="183"/>
      <c r="I37" s="183"/>
      <c r="J37" s="183"/>
      <c r="K37" s="183"/>
      <c r="L37" s="184"/>
      <c r="M37" s="184"/>
      <c r="N37" s="184"/>
      <c r="O37" s="183">
        <f>'Attached-DIB_GNESTE_Solar_Power'!AA337</f>
        <v>936.56791089</v>
      </c>
      <c r="P37" s="203"/>
      <c r="V37" s="218"/>
      <c r="W37" s="219"/>
      <c r="X37" s="218" t="s">
        <v>40</v>
      </c>
      <c r="Y37" s="218"/>
      <c r="Z37" s="218"/>
      <c r="AA37" s="218"/>
      <c r="AB37" s="218"/>
      <c r="AC37" s="219"/>
      <c r="AD37" s="218" t="s">
        <v>41</v>
      </c>
      <c r="AE37" s="218"/>
      <c r="AF37" s="218"/>
      <c r="AG37" s="218"/>
      <c r="AH37" s="218"/>
      <c r="BD37" s="304" t="s">
        <v>119</v>
      </c>
      <c r="BE37" s="318" t="s">
        <v>227</v>
      </c>
      <c r="BF37" s="319">
        <v>580</v>
      </c>
      <c r="BG37" s="319">
        <v>390</v>
      </c>
      <c r="BH37" s="319">
        <v>16</v>
      </c>
      <c r="BI37" s="319">
        <v>14</v>
      </c>
      <c r="BJ37" s="319">
        <v>12</v>
      </c>
      <c r="BK37" s="320" t="s">
        <v>228</v>
      </c>
      <c r="BL37" s="320" t="s">
        <v>229</v>
      </c>
      <c r="BM37" s="332" t="s">
        <v>197</v>
      </c>
      <c r="BN37" s="332" t="s">
        <v>186</v>
      </c>
      <c r="BO37" s="332"/>
      <c r="BP37" s="318">
        <v>530</v>
      </c>
      <c r="BQ37" s="318">
        <v>340</v>
      </c>
      <c r="BR37" s="318">
        <v>14</v>
      </c>
      <c r="BS37" s="318">
        <v>12</v>
      </c>
    </row>
    <row r="38" spans="4:71">
      <c r="D38" s="182" t="s">
        <v>76</v>
      </c>
      <c r="E38" s="182" t="s">
        <v>9</v>
      </c>
      <c r="F38" s="185">
        <f>Attached_WEO2023!B15</f>
        <v>1250</v>
      </c>
      <c r="G38" s="186">
        <f>Attached_WEO2023!F15</f>
        <v>1610</v>
      </c>
      <c r="H38" s="183">
        <f>'Attached-IRENA2024 report'!J83</f>
        <v>1248</v>
      </c>
      <c r="I38" s="183"/>
      <c r="J38" s="183"/>
      <c r="K38" s="183"/>
      <c r="L38" s="184"/>
      <c r="M38" s="184"/>
      <c r="N38" s="184"/>
      <c r="O38" s="183">
        <f>'Attached-DIB_GNESTE_Solar_Power'!AA341</f>
        <v>787.789251862</v>
      </c>
      <c r="P38" s="203"/>
      <c r="V38" s="220">
        <v>2023</v>
      </c>
      <c r="W38" s="221"/>
      <c r="X38" s="220">
        <v>2030</v>
      </c>
      <c r="Y38" s="220">
        <v>2035</v>
      </c>
      <c r="Z38" s="220">
        <v>2040</v>
      </c>
      <c r="AA38" s="220">
        <v>2045</v>
      </c>
      <c r="AB38" s="220">
        <v>2050</v>
      </c>
      <c r="AC38" s="221"/>
      <c r="AD38" s="220">
        <v>2030</v>
      </c>
      <c r="AE38" s="220">
        <v>2035</v>
      </c>
      <c r="AF38" s="220">
        <v>2040</v>
      </c>
      <c r="AG38" s="220">
        <v>2045</v>
      </c>
      <c r="AH38" s="220">
        <v>2050</v>
      </c>
      <c r="BD38" s="304" t="s">
        <v>121</v>
      </c>
      <c r="BE38" s="318" t="s">
        <v>230</v>
      </c>
      <c r="BF38" s="319" t="s">
        <v>231</v>
      </c>
      <c r="BG38" s="319">
        <v>770</v>
      </c>
      <c r="BH38" s="319">
        <v>30</v>
      </c>
      <c r="BI38" s="319">
        <v>26</v>
      </c>
      <c r="BJ38" s="319">
        <v>26</v>
      </c>
      <c r="BK38" s="320" t="s">
        <v>232</v>
      </c>
      <c r="BL38" s="320" t="s">
        <v>233</v>
      </c>
      <c r="BM38" s="332" t="s">
        <v>201</v>
      </c>
      <c r="BN38" s="332" t="s">
        <v>197</v>
      </c>
      <c r="BO38" s="332"/>
      <c r="BP38" s="318" t="s">
        <v>234</v>
      </c>
      <c r="BQ38" s="318">
        <v>640</v>
      </c>
      <c r="BR38" s="318">
        <v>26</v>
      </c>
      <c r="BS38" s="318">
        <v>24</v>
      </c>
    </row>
    <row r="39" spans="4:71">
      <c r="D39" s="183" t="s">
        <v>77</v>
      </c>
      <c r="E39" s="183" t="s">
        <v>8</v>
      </c>
      <c r="F39" s="185">
        <f>Attached_WEO2023!B14</f>
        <v>1880</v>
      </c>
      <c r="G39" s="186">
        <f>Attached_WEO2023!F14</f>
        <v>1850</v>
      </c>
      <c r="H39" s="188">
        <f>'Attached-IRENA2024 report'!J15</f>
        <v>1875.23992880094</v>
      </c>
      <c r="I39" s="204">
        <f>'Attached-IEA2020Projected Costs'!K34</f>
        <v>2035.9917497626</v>
      </c>
      <c r="J39" s="204">
        <f>'Attached-IEA2020Projected Costs'!L34</f>
        <v>2075.14902341426</v>
      </c>
      <c r="K39" s="204">
        <f>'Attached-IEA2020Projected Costs'!M34</f>
        <v>2104.03879897306</v>
      </c>
      <c r="L39" s="205">
        <f>'Attached-IEA2020Projected Costs'!K33</f>
        <v>2367.472691368</v>
      </c>
      <c r="M39" s="205">
        <f>'Attached-IEA2020Projected Costs'!L33</f>
        <v>2413.00518237614</v>
      </c>
      <c r="N39" s="205">
        <f>'Attached-IEA2020Projected Costs'!M33</f>
        <v>2446.59851825444</v>
      </c>
      <c r="O39" s="183"/>
      <c r="P39" s="203"/>
      <c r="V39" s="222">
        <v>32.13</v>
      </c>
      <c r="W39" s="222"/>
      <c r="X39" s="222">
        <v>82.67</v>
      </c>
      <c r="Y39" s="222">
        <v>150.99</v>
      </c>
      <c r="Z39" s="222">
        <v>236.9</v>
      </c>
      <c r="AA39" s="222">
        <v>319.85</v>
      </c>
      <c r="AB39" s="222">
        <v>408.09</v>
      </c>
      <c r="AC39" s="232"/>
      <c r="AD39" s="222">
        <v>165.71</v>
      </c>
      <c r="AE39" s="222">
        <v>368.34</v>
      </c>
      <c r="AF39" s="222">
        <v>669.78</v>
      </c>
      <c r="AG39" s="222">
        <v>898.17</v>
      </c>
      <c r="AH39" s="222">
        <v>1074.26</v>
      </c>
      <c r="BD39" s="304" t="s">
        <v>194</v>
      </c>
      <c r="BE39" s="318">
        <v>580</v>
      </c>
      <c r="BF39" s="319">
        <f>I61</f>
        <v>426.048002648571</v>
      </c>
      <c r="BG39" s="319">
        <f>'Summarize-ForReg(Current&amp;2050)'!I61</f>
        <v>333.56038032671</v>
      </c>
      <c r="BH39" s="319"/>
      <c r="BI39" s="319"/>
      <c r="BJ39" s="319"/>
      <c r="BK39" s="320">
        <f>L61</f>
        <v>370.795965010847</v>
      </c>
      <c r="BL39" s="320">
        <f>'Summarize-ForReg(Current&amp;2050)'!L61</f>
        <v>260.621118703281</v>
      </c>
      <c r="BM39" s="332"/>
      <c r="BN39" s="332"/>
      <c r="BO39" s="332"/>
      <c r="BP39" s="318"/>
      <c r="BQ39" s="318"/>
      <c r="BR39" s="318"/>
      <c r="BS39" s="318"/>
    </row>
    <row r="40" ht="15.25" spans="4:71">
      <c r="D40" s="183"/>
      <c r="E40" s="183" t="s">
        <v>10</v>
      </c>
      <c r="F40" s="185">
        <f>Attached_WEO2023!B16</f>
        <v>670</v>
      </c>
      <c r="G40" s="186">
        <f>Attached_WEO2023!F16</f>
        <v>750</v>
      </c>
      <c r="H40" s="188">
        <f>'Attached-IRENA2024 report'!J11</f>
        <v>671.126163217668</v>
      </c>
      <c r="I40" s="204">
        <f>'Attached-IEA2020Projected Costs'!K61</f>
        <v>741.295337697466</v>
      </c>
      <c r="J40" s="204">
        <f>'Attached-IEA2020Projected Costs'!L61</f>
        <v>755.552322971745</v>
      </c>
      <c r="K40" s="204">
        <f>'Attached-IEA2020Projected Costs'!M61</f>
        <v>766.070958880442</v>
      </c>
      <c r="L40" s="184"/>
      <c r="M40" s="184"/>
      <c r="N40" s="184"/>
      <c r="O40" s="183">
        <f>'Attached-DIB_GNESTE_Solar_Power'!AA342</f>
        <v>694.646657334</v>
      </c>
      <c r="P40" s="203"/>
      <c r="BD40" s="308" t="s">
        <v>115</v>
      </c>
      <c r="BE40" s="326">
        <v>580</v>
      </c>
      <c r="BF40" s="327">
        <v>350</v>
      </c>
      <c r="BG40" s="327">
        <v>260</v>
      </c>
      <c r="BH40" s="327">
        <v>8</v>
      </c>
      <c r="BI40" s="327">
        <v>8</v>
      </c>
      <c r="BJ40" s="327">
        <v>8</v>
      </c>
      <c r="BK40" s="328" t="s">
        <v>235</v>
      </c>
      <c r="BL40" s="328" t="s">
        <v>236</v>
      </c>
      <c r="BM40" s="334" t="s">
        <v>182</v>
      </c>
      <c r="BN40" s="334" t="s">
        <v>182</v>
      </c>
      <c r="BO40" s="334"/>
      <c r="BP40" s="326">
        <v>330</v>
      </c>
      <c r="BQ40" s="326">
        <v>240</v>
      </c>
      <c r="BR40" s="326">
        <v>8</v>
      </c>
      <c r="BS40" s="326">
        <v>8</v>
      </c>
    </row>
    <row r="41" ht="15.25" spans="4:16">
      <c r="D41" s="183"/>
      <c r="E41" s="183" t="s">
        <v>11</v>
      </c>
      <c r="F41" s="185">
        <f>Attached_WEO2023!B17</f>
        <v>710</v>
      </c>
      <c r="G41" s="186">
        <f>Attached_WEO2023!F17</f>
        <v>780</v>
      </c>
      <c r="H41" s="188">
        <f>'Attached-IRENA2024 report'!J13</f>
        <v>711.328186596699</v>
      </c>
      <c r="I41" s="204">
        <f>'Attached-IEA2020Projected Costs'!K62</f>
        <v>638.035261492125</v>
      </c>
      <c r="J41" s="204">
        <f>'Attached-IEA2020Projected Costs'!L62</f>
        <v>650.30629418986</v>
      </c>
      <c r="K41" s="204">
        <f>'Attached-IEA2020Projected Costs'!M62</f>
        <v>659.359717665302</v>
      </c>
      <c r="L41" s="184"/>
      <c r="M41" s="184"/>
      <c r="N41" s="184"/>
      <c r="O41" s="183">
        <f>AVERAGE('Attached-DIB_GNESTE_Solar_Power'!W25,'Attached-DIB_GNESTE_Solar_Power'!V135,'Attached-DIB_GNESTE_Solar_Power'!AA343)</f>
        <v>670.571785346333</v>
      </c>
      <c r="P41" s="203"/>
    </row>
    <row r="42" s="13" customFormat="1" spans="4:16">
      <c r="D42" s="183"/>
      <c r="E42" s="190" t="s">
        <v>78</v>
      </c>
      <c r="F42" s="183"/>
      <c r="G42" s="184"/>
      <c r="H42" s="188">
        <f>'Attached-IRENA2024 report'!J17</f>
        <v>1205.26012257957</v>
      </c>
      <c r="I42" s="204">
        <f>'Attached-IEA2020Projected Costs'!K36</f>
        <v>1244.04187033793</v>
      </c>
      <c r="J42" s="204">
        <f>'Attached-IEA2020Projected Costs'!L36</f>
        <v>1267.96794369094</v>
      </c>
      <c r="K42" s="204">
        <f>'Attached-IEA2020Projected Costs'!M36</f>
        <v>1285.62031896407</v>
      </c>
      <c r="L42" s="205">
        <f>'Attached-IEA2020Projected Costs'!K35</f>
        <v>1258.55886660528</v>
      </c>
      <c r="M42" s="205">
        <f>'Attached-IEA2020Projected Costs'!L35</f>
        <v>1282.76413853339</v>
      </c>
      <c r="N42" s="205">
        <f>'Attached-IEA2020Projected Costs'!M35</f>
        <v>1300.62250322863</v>
      </c>
      <c r="O42" s="183"/>
      <c r="P42" s="203"/>
    </row>
    <row r="43" spans="4:37">
      <c r="D43" s="183"/>
      <c r="E43" s="190" t="s">
        <v>79</v>
      </c>
      <c r="F43" s="183"/>
      <c r="G43" s="184"/>
      <c r="H43" s="188">
        <f>'Attached-IRENA2024 report'!J45</f>
        <v>988.628122847266</v>
      </c>
      <c r="I43" s="204">
        <f>'Attached-IEA2020Projected Costs'!K7</f>
        <v>895.147868712427</v>
      </c>
      <c r="J43" s="204">
        <f>'Attached-IEA2020Projected Costs'!L7</f>
        <v>912.363827499077</v>
      </c>
      <c r="K43" s="204">
        <f>'Attached-IEA2020Projected Costs'!M7</f>
        <v>925.065559233527</v>
      </c>
      <c r="L43" s="184"/>
      <c r="M43" s="184"/>
      <c r="N43" s="184"/>
      <c r="O43" s="183">
        <f>AVERAGE('Attached-DIB_GNESTE_Solar_Power'!AA19:AA21)</f>
        <v>932.2705</v>
      </c>
      <c r="P43" s="203"/>
      <c r="V43" s="175" t="s">
        <v>237</v>
      </c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</row>
    <row r="44" s="172" customFormat="1" spans="4:37">
      <c r="D44" s="194"/>
      <c r="E44" s="469" t="s">
        <v>80</v>
      </c>
      <c r="F44" s="194"/>
      <c r="G44" s="194"/>
      <c r="H44" s="194">
        <f>'Attached-IRENA2024 report'!J78</f>
        <v>798</v>
      </c>
      <c r="I44" s="194"/>
      <c r="J44" s="194"/>
      <c r="K44" s="194"/>
      <c r="L44" s="194"/>
      <c r="M44" s="194"/>
      <c r="N44" s="194"/>
      <c r="O44" s="194">
        <f>AVERAGE('Attached-DIB_GNESTE_Solar_Power'!V3:V4,'Attached-DIB_GNESTE_Solar_Power'!V133)</f>
        <v>1913.40285</v>
      </c>
      <c r="P44" s="206"/>
      <c r="V44" s="223"/>
      <c r="W44" s="224" t="s">
        <v>238</v>
      </c>
      <c r="X44" s="223"/>
      <c r="Y44" s="223"/>
      <c r="Z44" s="223"/>
      <c r="AA44" s="223"/>
      <c r="AB44" s="224" t="s">
        <v>239</v>
      </c>
      <c r="AC44" s="223"/>
      <c r="AD44" s="223"/>
      <c r="AE44" s="223"/>
      <c r="AF44" s="223"/>
      <c r="AG44" s="224" t="s">
        <v>240</v>
      </c>
      <c r="AH44" s="223"/>
      <c r="AI44" s="223"/>
      <c r="AJ44" s="223"/>
      <c r="AK44" s="223"/>
    </row>
    <row r="45" s="172" customFormat="1" spans="4:37">
      <c r="D45" s="194"/>
      <c r="E45" s="194" t="s">
        <v>81</v>
      </c>
      <c r="F45" s="194"/>
      <c r="G45" s="194"/>
      <c r="H45" s="194"/>
      <c r="I45" s="194"/>
      <c r="J45" s="194"/>
      <c r="K45" s="194"/>
      <c r="L45" s="194"/>
      <c r="M45" s="194"/>
      <c r="N45" s="194"/>
      <c r="O45" s="194">
        <f>AVERAGE('Attached-DIB_GNESTE_Solar_Power'!V5:V6)</f>
        <v>2262.804</v>
      </c>
      <c r="P45" s="206"/>
      <c r="V45" s="225">
        <v>2023</v>
      </c>
      <c r="W45" s="226">
        <v>2030</v>
      </c>
      <c r="X45" s="226">
        <v>2035</v>
      </c>
      <c r="Y45" s="226">
        <v>2040</v>
      </c>
      <c r="Z45" s="226">
        <v>2045</v>
      </c>
      <c r="AA45" s="226">
        <v>2050</v>
      </c>
      <c r="AB45" s="226">
        <v>2030</v>
      </c>
      <c r="AC45" s="226">
        <v>2035</v>
      </c>
      <c r="AD45" s="226">
        <v>2040</v>
      </c>
      <c r="AE45" s="226">
        <v>2045</v>
      </c>
      <c r="AF45" s="226">
        <v>2050</v>
      </c>
      <c r="AG45" s="226">
        <v>2030</v>
      </c>
      <c r="AH45" s="226">
        <v>2035</v>
      </c>
      <c r="AI45" s="226">
        <v>2040</v>
      </c>
      <c r="AJ45" s="226">
        <v>2045</v>
      </c>
      <c r="AK45" s="226">
        <v>2050</v>
      </c>
    </row>
    <row r="46" s="172" customFormat="1" spans="4:37">
      <c r="D46" s="194"/>
      <c r="E46" s="194" t="s">
        <v>82</v>
      </c>
      <c r="F46" s="194"/>
      <c r="G46" s="194"/>
      <c r="H46" s="194"/>
      <c r="I46" s="194"/>
      <c r="J46" s="194"/>
      <c r="K46" s="194"/>
      <c r="L46" s="194"/>
      <c r="M46" s="194"/>
      <c r="N46" s="194"/>
      <c r="O46" s="194">
        <f>AVERAGE('Attached-DIB_GNESTE_Solar_Power'!V7:V8)</f>
        <v>2229.198</v>
      </c>
      <c r="P46" s="206"/>
      <c r="V46" s="227">
        <v>1609.87</v>
      </c>
      <c r="W46" s="227">
        <v>5838.45</v>
      </c>
      <c r="X46" s="227">
        <v>9203.17</v>
      </c>
      <c r="Y46" s="227">
        <v>12333.11</v>
      </c>
      <c r="Z46" s="227">
        <v>14972.81</v>
      </c>
      <c r="AA46" s="227">
        <v>16445.01</v>
      </c>
      <c r="AB46" s="227">
        <v>6544.16</v>
      </c>
      <c r="AC46" s="227">
        <v>10792.62</v>
      </c>
      <c r="AD46" s="227">
        <v>14800.73</v>
      </c>
      <c r="AE46" s="227">
        <v>18066.24</v>
      </c>
      <c r="AF46" s="227">
        <v>20058.6</v>
      </c>
      <c r="AG46" s="227">
        <v>6698.82</v>
      </c>
      <c r="AH46" s="227">
        <v>12044.04</v>
      </c>
      <c r="AI46" s="227">
        <v>16455.02</v>
      </c>
      <c r="AJ46" s="227">
        <v>19462.09</v>
      </c>
      <c r="AK46" s="227">
        <v>21618.47</v>
      </c>
    </row>
    <row r="47" s="172" customFormat="1" spans="4:16">
      <c r="D47" s="194"/>
      <c r="E47" s="194" t="s">
        <v>83</v>
      </c>
      <c r="F47" s="194"/>
      <c r="G47" s="194"/>
      <c r="H47" s="194"/>
      <c r="I47" s="194"/>
      <c r="J47" s="194"/>
      <c r="K47" s="194"/>
      <c r="L47" s="194"/>
      <c r="M47" s="194"/>
      <c r="N47" s="194"/>
      <c r="O47" s="194">
        <f>AVERAGE('Attached-DIB_GNESTE_Solar_Power'!V136)</f>
        <v>1108.15315</v>
      </c>
      <c r="P47" s="206"/>
    </row>
    <row r="48" spans="4:16">
      <c r="D48" s="183"/>
      <c r="E48" s="183" t="s">
        <v>84</v>
      </c>
      <c r="F48" s="183"/>
      <c r="G48" s="184"/>
      <c r="H48" s="183"/>
      <c r="I48" s="183"/>
      <c r="J48" s="183"/>
      <c r="K48" s="183"/>
      <c r="L48" s="184"/>
      <c r="M48" s="184"/>
      <c r="N48" s="184"/>
      <c r="O48" s="183">
        <f>'Attached-DIB_GNESTE_Solar_Power'!V11</f>
        <v>2254.9626</v>
      </c>
      <c r="P48" s="203"/>
    </row>
    <row r="49" s="172" customFormat="1" spans="4:16">
      <c r="D49" s="194"/>
      <c r="E49" s="194" t="s">
        <v>85</v>
      </c>
      <c r="F49" s="194"/>
      <c r="G49" s="194"/>
      <c r="H49" s="194"/>
      <c r="I49" s="194"/>
      <c r="J49" s="194"/>
      <c r="K49" s="194"/>
      <c r="L49" s="194"/>
      <c r="M49" s="194"/>
      <c r="N49" s="194"/>
      <c r="O49" s="194">
        <f>'Attached-DIB_GNESTE_Solar_Power'!AA344</f>
        <v>718.766859876</v>
      </c>
      <c r="P49" s="206"/>
    </row>
    <row r="50" spans="4:16">
      <c r="D50" s="183"/>
      <c r="E50" s="183" t="s">
        <v>86</v>
      </c>
      <c r="F50" s="183"/>
      <c r="G50" s="184"/>
      <c r="H50" s="183"/>
      <c r="I50" s="183"/>
      <c r="J50" s="183"/>
      <c r="K50" s="183"/>
      <c r="L50" s="184"/>
      <c r="M50" s="184"/>
      <c r="N50" s="184"/>
      <c r="O50" s="183">
        <f>'Attached-DIB_GNESTE_Solar_Power'!AA345</f>
        <v>922.20861766</v>
      </c>
      <c r="P50" s="203"/>
    </row>
    <row r="51" spans="4:15">
      <c r="D51" s="182" t="s">
        <v>87</v>
      </c>
      <c r="E51" s="182"/>
      <c r="F51" s="183"/>
      <c r="G51" s="184"/>
      <c r="H51" s="188">
        <f>'Attached-IRENA2024 report'!AB11</f>
        <v>757.687831048275</v>
      </c>
      <c r="I51" s="183"/>
      <c r="J51" s="183"/>
      <c r="K51" s="183"/>
      <c r="L51" s="184"/>
      <c r="M51" s="184"/>
      <c r="N51" s="184"/>
      <c r="O51" s="183">
        <f>AVERAGE('Attached-DIB_GNESTE_Solar_Power'!W76:W322)</f>
        <v>918.0296</v>
      </c>
    </row>
    <row r="52" spans="22:36">
      <c r="V52" s="228" t="s">
        <v>119</v>
      </c>
      <c r="W52" s="212"/>
      <c r="X52" s="212" t="s">
        <v>40</v>
      </c>
      <c r="Y52" s="212"/>
      <c r="Z52" s="212"/>
      <c r="AB52" s="212"/>
      <c r="AC52" s="212"/>
      <c r="AD52" s="212" t="s">
        <v>41</v>
      </c>
      <c r="AE52" s="212"/>
      <c r="AG52" s="212"/>
      <c r="AH52" s="212"/>
      <c r="AI52" s="212"/>
      <c r="AJ52" s="212"/>
    </row>
    <row r="53" spans="22:34">
      <c r="V53" s="214">
        <v>2023</v>
      </c>
      <c r="W53" s="214"/>
      <c r="X53" s="214">
        <v>2030</v>
      </c>
      <c r="Y53" s="214">
        <v>2035</v>
      </c>
      <c r="Z53" s="214">
        <v>2040</v>
      </c>
      <c r="AA53" s="214">
        <v>2045</v>
      </c>
      <c r="AB53" s="214">
        <v>2050</v>
      </c>
      <c r="AD53" s="214">
        <v>2030</v>
      </c>
      <c r="AE53" s="214">
        <v>2035</v>
      </c>
      <c r="AF53" s="214">
        <v>2040</v>
      </c>
      <c r="AG53" s="214">
        <v>2045</v>
      </c>
      <c r="AH53" s="214">
        <v>2050</v>
      </c>
    </row>
    <row r="54" spans="22:34">
      <c r="V54" s="216">
        <v>13.85</v>
      </c>
      <c r="W54" s="216"/>
      <c r="X54" s="216">
        <v>106.79</v>
      </c>
      <c r="Y54" s="216">
        <v>178.54</v>
      </c>
      <c r="Z54" s="216">
        <v>251.87</v>
      </c>
      <c r="AA54" s="216">
        <v>328.15</v>
      </c>
      <c r="AB54" s="216">
        <v>440.63</v>
      </c>
      <c r="AD54" s="216">
        <v>132.56</v>
      </c>
      <c r="AE54" s="216">
        <v>377.15</v>
      </c>
      <c r="AF54" s="216">
        <v>585.12</v>
      </c>
      <c r="AG54" s="216">
        <v>782.52</v>
      </c>
      <c r="AH54" s="216">
        <v>1028.37</v>
      </c>
    </row>
    <row r="58" ht="26" spans="2:37">
      <c r="B58" s="196" t="s">
        <v>88</v>
      </c>
      <c r="E58" s="177" t="s">
        <v>89</v>
      </c>
      <c r="F58" s="177"/>
      <c r="G58" s="197"/>
      <c r="H58" s="198" t="s">
        <v>90</v>
      </c>
      <c r="I58" s="198"/>
      <c r="J58" s="198"/>
      <c r="K58" s="207" t="s">
        <v>20</v>
      </c>
      <c r="L58" s="207"/>
      <c r="M58" s="207"/>
      <c r="N58" s="208" t="s">
        <v>91</v>
      </c>
      <c r="O58" s="208"/>
      <c r="P58" s="208"/>
      <c r="V58" s="212" t="s">
        <v>121</v>
      </c>
      <c r="W58" s="213"/>
      <c r="X58" s="212" t="s">
        <v>40</v>
      </c>
      <c r="Y58" s="212"/>
      <c r="Z58" s="212"/>
      <c r="AA58" s="212"/>
      <c r="AB58" s="212"/>
      <c r="AC58" s="213"/>
      <c r="AD58" s="212" t="s">
        <v>41</v>
      </c>
      <c r="AE58" s="212"/>
      <c r="AF58" s="212"/>
      <c r="AG58" s="212"/>
      <c r="AH58" s="212"/>
      <c r="AK58" s="233" t="s">
        <v>95</v>
      </c>
    </row>
    <row r="59" spans="4:43">
      <c r="D59" s="182"/>
      <c r="E59" s="182" t="s">
        <v>92</v>
      </c>
      <c r="F59" s="183" t="s">
        <v>93</v>
      </c>
      <c r="G59" s="184" t="s">
        <v>94</v>
      </c>
      <c r="H59" s="199"/>
      <c r="I59" s="199"/>
      <c r="J59" s="199"/>
      <c r="K59" s="155"/>
      <c r="L59" s="209"/>
      <c r="M59" s="209"/>
      <c r="N59" s="210"/>
      <c r="O59" s="211"/>
      <c r="P59" s="211"/>
      <c r="V59" s="214">
        <v>2023</v>
      </c>
      <c r="W59" s="215"/>
      <c r="X59" s="214">
        <v>2030</v>
      </c>
      <c r="Y59" s="214">
        <v>2035</v>
      </c>
      <c r="Z59" s="214">
        <v>2040</v>
      </c>
      <c r="AA59" s="214">
        <v>2045</v>
      </c>
      <c r="AB59" s="214">
        <v>2050</v>
      </c>
      <c r="AC59" s="215"/>
      <c r="AD59" s="214">
        <v>2030</v>
      </c>
      <c r="AE59" s="214">
        <v>2035</v>
      </c>
      <c r="AF59" s="214">
        <v>2040</v>
      </c>
      <c r="AG59" s="214">
        <v>2045</v>
      </c>
      <c r="AH59" s="214">
        <v>2050</v>
      </c>
      <c r="AL59">
        <v>2023</v>
      </c>
      <c r="AM59" t="s">
        <v>241</v>
      </c>
      <c r="AN59" t="s">
        <v>242</v>
      </c>
      <c r="AP59" t="s">
        <v>243</v>
      </c>
      <c r="AQ59" t="s">
        <v>244</v>
      </c>
    </row>
    <row r="60" spans="4:45">
      <c r="D60" s="182" t="s">
        <v>38</v>
      </c>
      <c r="E60" s="182">
        <f>AVERAGE(F4:F29,H4:K29,O4:O29)</f>
        <v>795.948086909297</v>
      </c>
      <c r="F60" s="183">
        <f>AVERAGE(G4:G29,L4:N29)</f>
        <v>1153.03378450965</v>
      </c>
      <c r="G60" s="184">
        <f t="shared" ref="G60:G66" si="0">F60-E60</f>
        <v>357.085697600353</v>
      </c>
      <c r="H60" s="298">
        <f>E60*(0.8)^(LOG((X19/V19),2))</f>
        <v>592.662495260416</v>
      </c>
      <c r="I60" s="298">
        <f>F60*(0.8)^(LOG((X19/V19),2))</f>
        <v>858.548303697256</v>
      </c>
      <c r="J60" s="298">
        <f t="shared" ref="J60:J66" si="1">I60-H60</f>
        <v>265.88580843684</v>
      </c>
      <c r="K60" s="299">
        <f>E60*(0.8)^(LOG((AD19/V19),2))</f>
        <v>565.825195398861</v>
      </c>
      <c r="L60" s="246">
        <f>F60*(0.8)^(LOG((AD19/V19),2))</f>
        <v>819.671002609006</v>
      </c>
      <c r="M60" s="299">
        <f t="shared" ref="M60:M66" si="2">L60-K60</f>
        <v>253.845807210145</v>
      </c>
      <c r="N60" s="210"/>
      <c r="O60" s="211"/>
      <c r="P60" s="211"/>
      <c r="V60" s="216">
        <v>17.04</v>
      </c>
      <c r="W60" s="216"/>
      <c r="X60" s="216">
        <v>81.43</v>
      </c>
      <c r="Y60" s="216">
        <v>152.02</v>
      </c>
      <c r="Z60" s="216">
        <v>220.44</v>
      </c>
      <c r="AA60" s="216">
        <v>285.15</v>
      </c>
      <c r="AB60" s="216">
        <v>332.13</v>
      </c>
      <c r="AC60" s="231"/>
      <c r="AD60" s="216">
        <v>175.19</v>
      </c>
      <c r="AE60" s="216">
        <v>347.96</v>
      </c>
      <c r="AF60" s="216">
        <v>535.77</v>
      </c>
      <c r="AG60" s="216">
        <v>737.89</v>
      </c>
      <c r="AH60" s="216">
        <v>945.41</v>
      </c>
      <c r="AK60" s="182" t="s">
        <v>38</v>
      </c>
      <c r="AL60" s="234">
        <f>V19</f>
        <v>318.09</v>
      </c>
      <c r="AM60" s="234">
        <f>X19</f>
        <v>795.05</v>
      </c>
      <c r="AN60" s="234">
        <f>AB19</f>
        <v>1343.31</v>
      </c>
      <c r="AP60" s="234">
        <f>AD19</f>
        <v>918.14</v>
      </c>
      <c r="AQ60" s="234">
        <f>AH19</f>
        <v>1473.41</v>
      </c>
      <c r="AS60" s="234">
        <f>SUM(AL60:AL66)</f>
        <v>1609.87</v>
      </c>
    </row>
    <row r="61" spans="4:45">
      <c r="D61" s="182" t="str">
        <f>D30</f>
        <v>South America</v>
      </c>
      <c r="E61" s="182">
        <f>AVERAGE(F30:F33,H30:K33,O30:O33)</f>
        <v>1016.93474958902</v>
      </c>
      <c r="F61" s="183">
        <f>AVERAGE(G30:G33,L30:N33)</f>
        <v>560</v>
      </c>
      <c r="G61" s="184">
        <f t="shared" si="0"/>
        <v>-456.934749589015</v>
      </c>
      <c r="H61" s="298">
        <f>E61*(0.8)^(LOG((X13/V13),2))</f>
        <v>773.683962297009</v>
      </c>
      <c r="I61" s="298">
        <f>F61*(0.8)^(LOG((X13/V13),2))</f>
        <v>426.048002648571</v>
      </c>
      <c r="J61" s="298">
        <f t="shared" si="1"/>
        <v>-347.635959648437</v>
      </c>
      <c r="K61" s="299">
        <f>E61*(0.8)^(LOG((AD13/V13),2))</f>
        <v>673.348753262362</v>
      </c>
      <c r="L61" s="246">
        <f>F61*(0.8)^(LOG((AD13/V13),2))</f>
        <v>370.795965010847</v>
      </c>
      <c r="M61" s="299">
        <f t="shared" si="2"/>
        <v>-302.552788251515</v>
      </c>
      <c r="N61" s="210"/>
      <c r="O61" s="211"/>
      <c r="P61" s="211"/>
      <c r="AK61" s="182" t="s">
        <v>69</v>
      </c>
      <c r="AL61" s="234">
        <f>V13</f>
        <v>61.93</v>
      </c>
      <c r="AM61" s="234">
        <f>X13</f>
        <v>144.78</v>
      </c>
      <c r="AN61" s="234">
        <f>AB13</f>
        <v>309.64</v>
      </c>
      <c r="AP61" s="234">
        <f>AD13</f>
        <v>222.89</v>
      </c>
      <c r="AQ61" s="234">
        <f>AH13</f>
        <v>666.41</v>
      </c>
      <c r="AS61" s="234">
        <f t="shared" ref="AS61:AS66" si="3">AS60</f>
        <v>1609.87</v>
      </c>
    </row>
    <row r="62" spans="4:45">
      <c r="D62" s="182" t="str">
        <f>D34</f>
        <v>North America</v>
      </c>
      <c r="E62" s="182">
        <f>AVERAGE(F34:F37,H34:K37,O34:O37)</f>
        <v>1173.61743966932</v>
      </c>
      <c r="F62" s="183">
        <f>AVERAGE(G34:G37,L34:N37)</f>
        <v>2230.47661786434</v>
      </c>
      <c r="G62" s="184">
        <f t="shared" si="0"/>
        <v>1056.85917819502</v>
      </c>
      <c r="H62" s="298">
        <f>E62*(0.8)^(LOG((X6/V6),2))</f>
        <v>804.814152683811</v>
      </c>
      <c r="I62" s="298">
        <f>F62*(0.8)^(LOG((X6/V6),2))</f>
        <v>1529.56073130042</v>
      </c>
      <c r="J62" s="298">
        <f t="shared" si="1"/>
        <v>724.746578616612</v>
      </c>
      <c r="K62" s="299">
        <f>E62*(0.8)^(LOG((AD6/V6),2))</f>
        <v>746.258956165334</v>
      </c>
      <c r="L62" s="246">
        <f>F62*(0.8)^(LOG((AD6/V6),2))</f>
        <v>1418.27574841391</v>
      </c>
      <c r="M62" s="299">
        <f t="shared" si="2"/>
        <v>672.016792248576</v>
      </c>
      <c r="N62" s="210"/>
      <c r="O62" s="211"/>
      <c r="P62" s="211"/>
      <c r="AK62" s="182" t="s">
        <v>72</v>
      </c>
      <c r="AL62" s="234">
        <f>V6</f>
        <v>188.55</v>
      </c>
      <c r="AM62" s="234">
        <f>X6</f>
        <v>608.6</v>
      </c>
      <c r="AN62" s="234">
        <f>AB6</f>
        <v>1998.23</v>
      </c>
      <c r="AP62" s="234">
        <f>AD6</f>
        <v>769.55</v>
      </c>
      <c r="AQ62" s="234">
        <f>AH6</f>
        <v>2341.13</v>
      </c>
      <c r="AS62" s="234">
        <f t="shared" si="3"/>
        <v>1609.87</v>
      </c>
    </row>
    <row r="63" spans="4:45">
      <c r="D63" s="182" t="str">
        <f>D38</f>
        <v>Eurasia</v>
      </c>
      <c r="E63" s="182">
        <f>AVERAGE(F38,H38:K38,O38)</f>
        <v>1095.263083954</v>
      </c>
      <c r="F63" s="183">
        <f>AVERAGE(G38,L38:N38)</f>
        <v>1610</v>
      </c>
      <c r="G63" s="184">
        <f t="shared" si="0"/>
        <v>514.736916046</v>
      </c>
      <c r="H63" s="298">
        <f>E63*(0.8)^(LOG((X25/V25),2))</f>
        <v>721.195572107715</v>
      </c>
      <c r="I63" s="298">
        <f>F63*(0.8)^(LOG((X25/V25),2))</f>
        <v>1060.13330322579</v>
      </c>
      <c r="J63" s="298">
        <f t="shared" si="1"/>
        <v>338.937731118076</v>
      </c>
      <c r="K63" s="299">
        <f>E63*(0.8)^(LOG((AD25/V25),2))</f>
        <v>669.630333625889</v>
      </c>
      <c r="L63" s="246">
        <f>F63*(0.8)^(LOG((AD25/V25),2))</f>
        <v>984.33413207503</v>
      </c>
      <c r="M63" s="299">
        <f t="shared" si="2"/>
        <v>314.703798449141</v>
      </c>
      <c r="N63" s="210"/>
      <c r="O63" s="211"/>
      <c r="P63" s="211"/>
      <c r="AK63" s="182" t="s">
        <v>76</v>
      </c>
      <c r="AL63" s="234">
        <f>V25</f>
        <v>4.7</v>
      </c>
      <c r="AM63" s="234">
        <f>X25</f>
        <v>17.21</v>
      </c>
      <c r="AN63" s="234">
        <f>AB25</f>
        <v>33.41</v>
      </c>
      <c r="AP63" s="234">
        <f>AD25</f>
        <v>21.67</v>
      </c>
      <c r="AQ63" s="234">
        <f>AH25</f>
        <v>80.19</v>
      </c>
      <c r="AS63" s="234">
        <f t="shared" si="3"/>
        <v>1609.87</v>
      </c>
    </row>
    <row r="64" spans="4:45">
      <c r="D64" s="182" t="str">
        <f>D39</f>
        <v>Asia Pacific</v>
      </c>
      <c r="E64" s="182">
        <f>AVERAGE(F39:F50,H39:K50,O39:O50)</f>
        <v>1181.54630581598</v>
      </c>
      <c r="F64" s="183">
        <f>AVERAGE(G39:G50,L39:N50)</f>
        <v>1605.44687781843</v>
      </c>
      <c r="G64" s="184">
        <f t="shared" si="0"/>
        <v>423.90057200245</v>
      </c>
      <c r="H64" s="298">
        <f>E64*(0.8)^(LOG((X31/V31),2))</f>
        <v>752.490948055327</v>
      </c>
      <c r="I64" s="298">
        <f>F64*(0.8)^(LOG((X31/V31),2))</f>
        <v>1022.46034471561</v>
      </c>
      <c r="J64" s="298">
        <f t="shared" si="1"/>
        <v>269.969396660278</v>
      </c>
      <c r="K64" s="299">
        <f>E64*(0.8)^(LOG((AD31/V31),2))</f>
        <v>739.912966052155</v>
      </c>
      <c r="L64" s="246">
        <f>F64*(0.8)^(LOG((AD31/V31),2))</f>
        <v>1005.36978987501</v>
      </c>
      <c r="M64" s="299">
        <f t="shared" si="2"/>
        <v>265.456823822855</v>
      </c>
      <c r="N64" s="210"/>
      <c r="O64" s="211"/>
      <c r="P64" s="211"/>
      <c r="AK64" s="182" t="s">
        <v>77</v>
      </c>
      <c r="AL64" s="234">
        <f>V31</f>
        <v>1005.71</v>
      </c>
      <c r="AM64" s="234">
        <f>X31</f>
        <v>4084.58</v>
      </c>
      <c r="AN64" s="234">
        <f>AB31</f>
        <v>11987.66</v>
      </c>
      <c r="AP64" s="234">
        <f>AD31</f>
        <v>4304.15</v>
      </c>
      <c r="AQ64" s="234">
        <f>AH31</f>
        <v>13523.66</v>
      </c>
      <c r="AS64" s="234">
        <f t="shared" si="3"/>
        <v>1609.87</v>
      </c>
    </row>
    <row r="65" spans="4:45">
      <c r="D65" s="244" t="s">
        <v>12</v>
      </c>
      <c r="E65" s="169">
        <v>610</v>
      </c>
      <c r="F65" s="169">
        <v>1010</v>
      </c>
      <c r="G65" s="335">
        <f t="shared" si="0"/>
        <v>400</v>
      </c>
      <c r="H65" s="169">
        <v>360</v>
      </c>
      <c r="I65" s="169">
        <v>580</v>
      </c>
      <c r="J65" s="298">
        <f t="shared" si="1"/>
        <v>220</v>
      </c>
      <c r="K65" s="362">
        <f>H65*(0.8)^(LOG((AD54/X54),2))</f>
        <v>335.798905826305</v>
      </c>
      <c r="L65" s="245">
        <f>I65*(0.8)^(LOG((AD54/X54),2))</f>
        <v>541.009348275713</v>
      </c>
      <c r="M65" s="245">
        <f t="shared" si="2"/>
        <v>205.210442449409</v>
      </c>
      <c r="N65" s="363">
        <v>330</v>
      </c>
      <c r="O65" s="364">
        <v>530</v>
      </c>
      <c r="P65" s="211">
        <f t="shared" ref="P65:P69" si="4">O65-N65</f>
        <v>200</v>
      </c>
      <c r="AK65" s="244" t="s">
        <v>12</v>
      </c>
      <c r="AL65" s="234">
        <f>V54</f>
        <v>13.85</v>
      </c>
      <c r="AM65" s="234">
        <f>X54</f>
        <v>106.79</v>
      </c>
      <c r="AN65" s="234">
        <f>AB54</f>
        <v>440.63</v>
      </c>
      <c r="AP65" s="234">
        <f>AD54</f>
        <v>132.56</v>
      </c>
      <c r="AQ65" s="234">
        <f>AH54</f>
        <v>1028.37</v>
      </c>
      <c r="AS65" s="234">
        <f t="shared" si="3"/>
        <v>1609.87</v>
      </c>
    </row>
    <row r="66" s="173" customFormat="1" spans="4:45">
      <c r="D66" s="173" t="s">
        <v>13</v>
      </c>
      <c r="E66" s="169">
        <v>1330</v>
      </c>
      <c r="F66" s="169">
        <v>1830</v>
      </c>
      <c r="G66" s="336">
        <f t="shared" si="0"/>
        <v>500</v>
      </c>
      <c r="H66" s="169">
        <v>820</v>
      </c>
      <c r="I66" s="169">
        <v>1120</v>
      </c>
      <c r="J66" s="365">
        <f t="shared" si="1"/>
        <v>300</v>
      </c>
      <c r="K66" s="299">
        <f>H66*(0.8)^(LOG((AD60/X60),2))</f>
        <v>640.76733815654</v>
      </c>
      <c r="L66" s="246">
        <f>I66*(0.8)^(LOG((AD60/X60),2))</f>
        <v>875.194413091859</v>
      </c>
      <c r="M66" s="246">
        <f t="shared" si="2"/>
        <v>234.42707493532</v>
      </c>
      <c r="N66" s="364">
        <v>760</v>
      </c>
      <c r="O66" s="364">
        <v>950</v>
      </c>
      <c r="P66" s="211">
        <f t="shared" si="4"/>
        <v>190</v>
      </c>
      <c r="AK66" s="173" t="s">
        <v>13</v>
      </c>
      <c r="AL66" s="289">
        <f>V60</f>
        <v>17.04</v>
      </c>
      <c r="AM66" s="289">
        <f>X60</f>
        <v>81.43</v>
      </c>
      <c r="AN66" s="289">
        <f>AB60</f>
        <v>332.13</v>
      </c>
      <c r="AP66" s="289">
        <f>AD60</f>
        <v>175.19</v>
      </c>
      <c r="AQ66" s="289">
        <f>AH60</f>
        <v>945.41</v>
      </c>
      <c r="AS66" s="234">
        <f t="shared" si="3"/>
        <v>1609.87</v>
      </c>
    </row>
    <row r="67" s="174" customFormat="1" spans="4:16">
      <c r="D67" s="247"/>
      <c r="E67" s="247"/>
      <c r="F67" s="203"/>
      <c r="G67" s="337"/>
      <c r="H67" s="338"/>
      <c r="I67" s="338"/>
      <c r="J67" s="338"/>
      <c r="K67" s="366"/>
      <c r="L67" s="367"/>
      <c r="M67" s="366"/>
      <c r="N67" s="210"/>
      <c r="O67" s="211"/>
      <c r="P67" s="211"/>
    </row>
    <row r="68" s="174" customFormat="1" spans="4:16">
      <c r="D68" s="247"/>
      <c r="E68" s="247"/>
      <c r="F68" s="203"/>
      <c r="G68" s="337"/>
      <c r="H68" s="338"/>
      <c r="I68" s="338"/>
      <c r="J68" s="338"/>
      <c r="K68" s="366"/>
      <c r="L68" s="367"/>
      <c r="M68" s="366"/>
      <c r="N68" s="210"/>
      <c r="O68" s="211"/>
      <c r="P68" s="211"/>
    </row>
    <row r="69" s="175" customFormat="1" spans="4:16">
      <c r="D69" s="251" t="s">
        <v>87</v>
      </c>
      <c r="E69" s="339">
        <f>'Summarize-ForReg(Current&amp;2050)'!E69</f>
        <v>1094.49821164035</v>
      </c>
      <c r="F69" s="340">
        <f>AVERAGE(F60*AL60/AS60+F61*AL61/AS61+F62*AL62/AS62+F63*AL63/AS63+F64*AL64/AS64+F65*AL65/AS65+F66*AL66/AS66)</f>
        <v>1546.31017554447</v>
      </c>
      <c r="G69" s="184">
        <f>F69-E69</f>
        <v>451.811963904116</v>
      </c>
      <c r="H69" s="341">
        <f>E69*(0.8)^(LOG((W46/V46),2))</f>
        <v>722.926444812296</v>
      </c>
      <c r="I69" s="341">
        <f>F69*(0.8)^(LOG((W46/V46),2))</f>
        <v>1021.35253022302</v>
      </c>
      <c r="J69" s="298">
        <f>I69-H69</f>
        <v>298.426085410721</v>
      </c>
      <c r="K69" s="368">
        <f>E69*(0.8)^(LOG((AB46/V46),2))</f>
        <v>696.851970299743</v>
      </c>
      <c r="L69" s="368">
        <f>F69*(0.8)^(LOG((AB46/V46),2))</f>
        <v>984.514438728735</v>
      </c>
      <c r="M69" s="299">
        <f>L69-K69</f>
        <v>287.662468428992</v>
      </c>
      <c r="N69" s="278">
        <f>E69*(0.8)^(LOG((AG46/V46),2))</f>
        <v>691.631500646065</v>
      </c>
      <c r="O69" s="278">
        <f>F69*(0.8)^(LOG((AG46/V46),2))</f>
        <v>977.138944405629</v>
      </c>
      <c r="P69" s="211">
        <f t="shared" si="4"/>
        <v>285.507443759564</v>
      </c>
    </row>
    <row r="70" s="174" customFormat="1" spans="5:16">
      <c r="E70" s="254"/>
      <c r="F70" s="176"/>
      <c r="G70" s="255"/>
      <c r="H70" s="211"/>
      <c r="I70" s="211"/>
      <c r="J70" s="211"/>
      <c r="K70" s="176"/>
      <c r="L70" s="255"/>
      <c r="M70" s="255"/>
      <c r="N70" s="210"/>
      <c r="O70" s="211"/>
      <c r="P70" s="211"/>
    </row>
    <row r="71" s="174" customFormat="1" spans="5:16">
      <c r="E71" s="254"/>
      <c r="F71" s="176"/>
      <c r="G71" s="255"/>
      <c r="H71" s="211"/>
      <c r="I71" s="211"/>
      <c r="J71" s="211"/>
      <c r="K71" s="176"/>
      <c r="L71" s="255"/>
      <c r="M71" s="255"/>
      <c r="N71" s="210"/>
      <c r="O71" s="211"/>
      <c r="P71" s="211"/>
    </row>
    <row r="76" spans="14:15">
      <c r="N76" s="363"/>
      <c r="O76" s="364"/>
    </row>
    <row r="77" spans="14:15">
      <c r="N77" s="364"/>
      <c r="O77" s="364"/>
    </row>
    <row r="78" ht="23.5" spans="2:17">
      <c r="B78" s="181" t="s">
        <v>99</v>
      </c>
      <c r="D78" s="342"/>
      <c r="E78" s="236" t="s">
        <v>100</v>
      </c>
      <c r="F78" s="343" t="s">
        <v>90</v>
      </c>
      <c r="G78" s="343" t="s">
        <v>20</v>
      </c>
      <c r="H78" s="344" t="s">
        <v>91</v>
      </c>
      <c r="I78" s="155" t="s">
        <v>101</v>
      </c>
      <c r="J78" s="155"/>
      <c r="N78" s="164"/>
      <c r="O78" s="165">
        <v>2023</v>
      </c>
      <c r="P78" s="165">
        <v>2030</v>
      </c>
      <c r="Q78" s="165">
        <v>2050</v>
      </c>
    </row>
    <row r="79" spans="4:17">
      <c r="D79" s="342" t="s">
        <v>38</v>
      </c>
      <c r="E79" s="237">
        <f t="shared" ref="E79:E85" si="5">(E60*0.6+F60*0.4)*AL60/1000</f>
        <v>298.617282784857</v>
      </c>
      <c r="F79" s="345">
        <f t="shared" ref="F79:F85" si="6">(H60*0.6+I60*0.4)*AM60/1000</f>
        <v>555.753321655877</v>
      </c>
      <c r="G79" s="345">
        <f t="shared" ref="G79:G85" si="7">(K60*0.6+L60*0.4)*AP60/1000</f>
        <v>612.733140676279</v>
      </c>
      <c r="H79" s="344"/>
      <c r="I79" s="155"/>
      <c r="J79" s="155"/>
      <c r="N79" s="166" t="s">
        <v>102</v>
      </c>
      <c r="O79" s="167"/>
      <c r="P79" s="167"/>
      <c r="Q79" s="167"/>
    </row>
    <row r="80" spans="4:17">
      <c r="D80" s="342" t="s">
        <v>114</v>
      </c>
      <c r="E80" s="237">
        <f t="shared" si="5"/>
        <v>51.6595814252286</v>
      </c>
      <c r="F80" s="345">
        <f t="shared" si="6"/>
        <v>91.8816703662006</v>
      </c>
      <c r="G80" s="345">
        <f t="shared" si="7"/>
        <v>123.108307225296</v>
      </c>
      <c r="H80" s="344"/>
      <c r="I80" s="155"/>
      <c r="J80" s="155"/>
      <c r="N80" s="168" t="s">
        <v>6</v>
      </c>
      <c r="O80" s="169">
        <v>750</v>
      </c>
      <c r="P80" s="169">
        <v>480</v>
      </c>
      <c r="Q80" s="169">
        <v>340</v>
      </c>
    </row>
    <row r="81" spans="4:17">
      <c r="D81" s="342" t="s">
        <v>116</v>
      </c>
      <c r="E81" s="237">
        <f t="shared" si="5"/>
        <v>300.993887469119</v>
      </c>
      <c r="F81" s="345">
        <f t="shared" si="6"/>
        <v>666.242200421795</v>
      </c>
      <c r="G81" s="345">
        <f t="shared" si="7"/>
        <v>781.143788706989</v>
      </c>
      <c r="H81" s="344"/>
      <c r="I81" s="155"/>
      <c r="J81" s="155"/>
      <c r="N81" s="168" t="s">
        <v>7</v>
      </c>
      <c r="O81" s="169" t="s">
        <v>245</v>
      </c>
      <c r="P81" s="169">
        <v>690</v>
      </c>
      <c r="Q81" s="169">
        <v>480</v>
      </c>
    </row>
    <row r="82" s="176" customFormat="1" spans="4:17">
      <c r="D82" s="346" t="s">
        <v>76</v>
      </c>
      <c r="E82" s="237">
        <f t="shared" si="5"/>
        <v>6.11544189675028</v>
      </c>
      <c r="F82" s="345">
        <f t="shared" si="6"/>
        <v>14.7450231369906</v>
      </c>
      <c r="G82" s="345">
        <f t="shared" si="7"/>
        <v>17.2387418546302</v>
      </c>
      <c r="H82" s="347"/>
      <c r="I82" s="155"/>
      <c r="J82" s="155"/>
      <c r="N82" s="168" t="s">
        <v>8</v>
      </c>
      <c r="O82" s="169" t="s">
        <v>219</v>
      </c>
      <c r="P82" s="169" t="s">
        <v>246</v>
      </c>
      <c r="Q82" s="169">
        <v>940</v>
      </c>
    </row>
    <row r="83" s="176" customFormat="1" spans="4:17">
      <c r="D83" s="346" t="s">
        <v>118</v>
      </c>
      <c r="E83" s="237">
        <f t="shared" si="5"/>
        <v>1358.82135292962</v>
      </c>
      <c r="F83" s="345">
        <f t="shared" si="6"/>
        <v>3514.69411589208</v>
      </c>
      <c r="G83" s="345">
        <f t="shared" si="7"/>
        <v>3641.72278813624</v>
      </c>
      <c r="H83" s="347"/>
      <c r="I83" s="155"/>
      <c r="J83" s="155"/>
      <c r="N83" s="168" t="s">
        <v>9</v>
      </c>
      <c r="O83" s="169" t="s">
        <v>174</v>
      </c>
      <c r="P83" s="169">
        <v>820</v>
      </c>
      <c r="Q83" s="169">
        <v>580</v>
      </c>
    </row>
    <row r="84" s="176" customFormat="1" spans="4:17">
      <c r="D84" s="346" t="s">
        <v>119</v>
      </c>
      <c r="E84" s="238">
        <f t="shared" si="5"/>
        <v>10.6645</v>
      </c>
      <c r="F84" s="343">
        <f t="shared" si="6"/>
        <v>47.84192</v>
      </c>
      <c r="G84" s="345">
        <f t="shared" si="7"/>
        <v>55.3945814567724</v>
      </c>
      <c r="H84" s="347"/>
      <c r="I84" s="155" t="s">
        <v>119</v>
      </c>
      <c r="J84" s="280"/>
      <c r="N84" s="168" t="s">
        <v>10</v>
      </c>
      <c r="O84" s="169">
        <v>670</v>
      </c>
      <c r="P84" s="169">
        <v>410</v>
      </c>
      <c r="Q84" s="169">
        <v>280</v>
      </c>
    </row>
    <row r="85" s="176" customFormat="1" spans="4:17">
      <c r="D85" s="346" t="s">
        <v>121</v>
      </c>
      <c r="E85" s="238">
        <f t="shared" si="5"/>
        <v>26.0712</v>
      </c>
      <c r="F85" s="343">
        <f t="shared" si="6"/>
        <v>76.5442</v>
      </c>
      <c r="G85" s="345">
        <f t="shared" si="7"/>
        <v>128.683741674812</v>
      </c>
      <c r="H85" s="347"/>
      <c r="I85" s="155" t="s">
        <v>121</v>
      </c>
      <c r="J85" s="280"/>
      <c r="N85" s="168" t="s">
        <v>11</v>
      </c>
      <c r="O85" s="169">
        <v>710</v>
      </c>
      <c r="P85" s="169">
        <v>450</v>
      </c>
      <c r="Q85" s="169">
        <v>300</v>
      </c>
    </row>
    <row r="86" s="176" customFormat="1" spans="4:21">
      <c r="D86" s="348" t="s">
        <v>87</v>
      </c>
      <c r="E86" s="239">
        <f>(E69*0.6+F69*0.4)*V46/1000</f>
        <v>2052.94324650558</v>
      </c>
      <c r="F86" s="239">
        <f>(H69*0.6+I69*0.4)*W46/1000</f>
        <v>4917.70821306084</v>
      </c>
      <c r="G86" s="349">
        <f>(K69*0.6+L69*0.4)*AB46/1000</f>
        <v>5313.31447771448</v>
      </c>
      <c r="H86" s="239">
        <f>(N69*0.6+O69*0.4)*AG46/1000</f>
        <v>5398.14011892005</v>
      </c>
      <c r="I86" s="265"/>
      <c r="N86" s="168" t="s">
        <v>12</v>
      </c>
      <c r="O86" s="169">
        <v>610</v>
      </c>
      <c r="P86" s="169">
        <v>360</v>
      </c>
      <c r="Q86" s="169">
        <v>250</v>
      </c>
      <c r="T86" s="169">
        <v>330</v>
      </c>
      <c r="U86" s="169">
        <v>220</v>
      </c>
    </row>
    <row r="87" s="176" customFormat="1" spans="4:21">
      <c r="D87" s="350"/>
      <c r="E87" s="240"/>
      <c r="F87" s="240"/>
      <c r="G87" s="178"/>
      <c r="H87" s="240"/>
      <c r="I87" s="265"/>
      <c r="N87" s="168" t="s">
        <v>13</v>
      </c>
      <c r="O87" s="169" t="s">
        <v>247</v>
      </c>
      <c r="P87" s="169">
        <v>820</v>
      </c>
      <c r="Q87" s="169">
        <v>550</v>
      </c>
      <c r="T87" s="169">
        <v>760</v>
      </c>
      <c r="U87" s="169">
        <v>480</v>
      </c>
    </row>
    <row r="88" s="176" customFormat="1" spans="4:17">
      <c r="D88" s="347"/>
      <c r="E88" s="347"/>
      <c r="F88" s="347"/>
      <c r="G88" s="347"/>
      <c r="H88" s="347"/>
      <c r="I88" s="265"/>
      <c r="N88" s="170" t="s">
        <v>14</v>
      </c>
      <c r="O88" s="171">
        <v>730</v>
      </c>
      <c r="P88" s="171">
        <v>460</v>
      </c>
      <c r="Q88" s="171">
        <v>330</v>
      </c>
    </row>
    <row r="89" s="176" customFormat="1" spans="4:17">
      <c r="D89" s="351"/>
      <c r="E89" s="352"/>
      <c r="F89" s="352"/>
      <c r="G89" s="178"/>
      <c r="H89" s="352"/>
      <c r="I89" s="267"/>
      <c r="N89" s="166" t="s">
        <v>104</v>
      </c>
      <c r="O89" s="167"/>
      <c r="P89" s="167"/>
      <c r="Q89" s="167"/>
    </row>
    <row r="90" s="176" customFormat="1" spans="4:17">
      <c r="D90" s="347"/>
      <c r="E90" s="353"/>
      <c r="F90" s="347"/>
      <c r="G90" s="347"/>
      <c r="H90" s="347"/>
      <c r="N90" s="168" t="s">
        <v>6</v>
      </c>
      <c r="O90" s="169">
        <v>990</v>
      </c>
      <c r="P90" s="169">
        <v>650</v>
      </c>
      <c r="Q90" s="169">
        <v>470</v>
      </c>
    </row>
    <row r="91" s="176" customFormat="1" spans="4:17">
      <c r="D91" s="347"/>
      <c r="E91" s="353"/>
      <c r="F91" s="347"/>
      <c r="G91" s="347"/>
      <c r="H91" s="347"/>
      <c r="N91" s="168" t="s">
        <v>7</v>
      </c>
      <c r="O91" s="169" t="s">
        <v>136</v>
      </c>
      <c r="P91" s="169" t="s">
        <v>137</v>
      </c>
      <c r="Q91" s="169" t="s">
        <v>138</v>
      </c>
    </row>
    <row r="92" spans="4:17">
      <c r="D92" s="354"/>
      <c r="E92" s="355"/>
      <c r="F92" s="356"/>
      <c r="G92" s="344"/>
      <c r="H92" s="356"/>
      <c r="N92" s="168" t="s">
        <v>8</v>
      </c>
      <c r="O92" s="169" t="s">
        <v>141</v>
      </c>
      <c r="P92" s="169" t="s">
        <v>142</v>
      </c>
      <c r="Q92" s="169">
        <v>990</v>
      </c>
    </row>
    <row r="93" spans="4:17">
      <c r="D93" s="357" t="s">
        <v>248</v>
      </c>
      <c r="E93" s="358">
        <f t="shared" ref="E93:E99" si="8">(E60*0.5+F60*0.5)*AL60/1000-E79</f>
        <v>11.3585389549697</v>
      </c>
      <c r="F93" s="359">
        <f t="shared" ref="F93:F99" si="9">(H60*0.5+I60*0.5)*AM60/1000-F79</f>
        <v>21.139251199771</v>
      </c>
      <c r="G93" s="359">
        <f t="shared" ref="G93:G99" si="10">(K60*0.5+L60*0.5)*AP60/1000-G79</f>
        <v>23.3065989431923</v>
      </c>
      <c r="H93" s="356"/>
      <c r="N93" s="168" t="s">
        <v>9</v>
      </c>
      <c r="O93" s="169" t="s">
        <v>139</v>
      </c>
      <c r="P93" s="169" t="s">
        <v>140</v>
      </c>
      <c r="Q93" s="169">
        <v>780</v>
      </c>
    </row>
    <row r="94" spans="4:17">
      <c r="D94" s="357"/>
      <c r="E94" s="358">
        <f t="shared" si="8"/>
        <v>-2.82979690420477</v>
      </c>
      <c r="F94" s="359">
        <f t="shared" si="9"/>
        <v>-5.03307342379009</v>
      </c>
      <c r="G94" s="359">
        <f t="shared" si="10"/>
        <v>-6.74359909733799</v>
      </c>
      <c r="H94" s="356"/>
      <c r="N94" s="168" t="s">
        <v>10</v>
      </c>
      <c r="O94" s="169">
        <v>750</v>
      </c>
      <c r="P94" s="169">
        <v>450</v>
      </c>
      <c r="Q94" s="169">
        <v>310</v>
      </c>
    </row>
    <row r="95" spans="4:17">
      <c r="D95" s="357"/>
      <c r="E95" s="358">
        <f t="shared" si="8"/>
        <v>19.9270798048671</v>
      </c>
      <c r="F95" s="359">
        <f t="shared" si="9"/>
        <v>44.1080767746068</v>
      </c>
      <c r="G95" s="359">
        <f t="shared" si="10"/>
        <v>51.7150522474892</v>
      </c>
      <c r="H95" s="356"/>
      <c r="N95" s="168" t="s">
        <v>11</v>
      </c>
      <c r="O95" s="169">
        <v>780</v>
      </c>
      <c r="P95" s="169">
        <v>490</v>
      </c>
      <c r="Q95" s="169">
        <v>330</v>
      </c>
    </row>
    <row r="96" spans="4:21">
      <c r="D96" s="357"/>
      <c r="E96" s="358">
        <f t="shared" si="8"/>
        <v>0.24192635054162</v>
      </c>
      <c r="F96" s="359">
        <f t="shared" si="9"/>
        <v>0.583311835254209</v>
      </c>
      <c r="G96" s="359">
        <f t="shared" si="10"/>
        <v>0.681963131239289</v>
      </c>
      <c r="H96" s="356"/>
      <c r="N96" s="168" t="s">
        <v>12</v>
      </c>
      <c r="O96" s="169" t="s">
        <v>213</v>
      </c>
      <c r="P96" s="169">
        <v>580</v>
      </c>
      <c r="Q96" s="169">
        <v>390</v>
      </c>
      <c r="T96" s="169">
        <v>530</v>
      </c>
      <c r="U96" s="169">
        <v>340</v>
      </c>
    </row>
    <row r="97" spans="4:21">
      <c r="D97" s="357"/>
      <c r="E97" s="358">
        <f t="shared" si="8"/>
        <v>42.6321044268586</v>
      </c>
      <c r="F97" s="359">
        <f t="shared" si="9"/>
        <v>110.271159821064</v>
      </c>
      <c r="G97" s="359">
        <f t="shared" si="10"/>
        <v>114.256598825714</v>
      </c>
      <c r="H97" s="356"/>
      <c r="N97" s="168" t="s">
        <v>13</v>
      </c>
      <c r="O97" s="169" t="s">
        <v>249</v>
      </c>
      <c r="P97" s="169" t="s">
        <v>161</v>
      </c>
      <c r="Q97" s="169">
        <v>750</v>
      </c>
      <c r="T97" s="169">
        <v>950</v>
      </c>
      <c r="U97" s="169">
        <v>620</v>
      </c>
    </row>
    <row r="98" spans="4:8">
      <c r="D98" s="357"/>
      <c r="E98" s="360">
        <f t="shared" si="8"/>
        <v>0.554</v>
      </c>
      <c r="F98" s="361">
        <f t="shared" si="9"/>
        <v>2.34938</v>
      </c>
      <c r="G98" s="359">
        <f t="shared" si="10"/>
        <v>2.72026962510936</v>
      </c>
      <c r="H98" s="356"/>
    </row>
    <row r="99" spans="4:8">
      <c r="D99" s="357"/>
      <c r="E99" s="360">
        <f t="shared" si="8"/>
        <v>0.852</v>
      </c>
      <c r="F99" s="361">
        <f t="shared" si="9"/>
        <v>2.44289999999999</v>
      </c>
      <c r="G99" s="359">
        <f t="shared" si="10"/>
        <v>4.10692792579184</v>
      </c>
      <c r="H99" s="356"/>
    </row>
    <row r="100" spans="4:8">
      <c r="D100" s="357"/>
      <c r="E100" s="358">
        <f>(E69*0.5+F69*0.5)*V46/1000-E86</f>
        <v>72.7358526330318</v>
      </c>
      <c r="F100" s="358">
        <f>(H69*0.5+I69*0.5)*W46/1000-F86</f>
        <v>174.234577836623</v>
      </c>
      <c r="G100" s="358">
        <f>(K69*0.5+L69*0.5)*AB46/1000-G86</f>
        <v>188.250921939426</v>
      </c>
      <c r="H100" s="356">
        <f>(N69*0.5+O69*0.5)*AG46/1000-H86</f>
        <v>191.256297440544</v>
      </c>
    </row>
    <row r="101" spans="4:8">
      <c r="D101" s="354"/>
      <c r="E101" s="355"/>
      <c r="F101" s="356"/>
      <c r="G101" s="344"/>
      <c r="H101" s="356"/>
    </row>
    <row r="102" spans="4:8">
      <c r="D102" s="354"/>
      <c r="E102" s="355"/>
      <c r="F102" s="356"/>
      <c r="G102" s="344"/>
      <c r="H102" s="356"/>
    </row>
    <row r="103" spans="4:8">
      <c r="D103" s="357" t="s">
        <v>105</v>
      </c>
      <c r="E103" s="360">
        <f>E93*2</f>
        <v>22.7170779099393</v>
      </c>
      <c r="F103" s="360">
        <f>F93*2</f>
        <v>42.278502399542</v>
      </c>
      <c r="G103" s="360">
        <f>G93*2</f>
        <v>46.6131978863846</v>
      </c>
      <c r="H103" s="356"/>
    </row>
    <row r="104" spans="4:8">
      <c r="D104" s="357"/>
      <c r="E104" s="360">
        <f t="shared" ref="E104:E110" si="11">E94*2</f>
        <v>-5.65959380840954</v>
      </c>
      <c r="F104" s="360">
        <f t="shared" ref="F104:F110" si="12">F94*2</f>
        <v>-10.0661468475802</v>
      </c>
      <c r="G104" s="360">
        <f t="shared" ref="G104:G110" si="13">G94*2</f>
        <v>-13.487198194676</v>
      </c>
      <c r="H104" s="356"/>
    </row>
    <row r="105" spans="4:8">
      <c r="D105" s="357"/>
      <c r="E105" s="360">
        <f t="shared" si="11"/>
        <v>39.8541596097342</v>
      </c>
      <c r="F105" s="360">
        <f t="shared" si="12"/>
        <v>88.2161535492137</v>
      </c>
      <c r="G105" s="360">
        <f t="shared" si="13"/>
        <v>103.430104494978</v>
      </c>
      <c r="H105" s="356"/>
    </row>
    <row r="106" spans="4:8">
      <c r="D106" s="357"/>
      <c r="E106" s="360">
        <f t="shared" si="11"/>
        <v>0.48385270108324</v>
      </c>
      <c r="F106" s="360">
        <f t="shared" si="12"/>
        <v>1.16662367050842</v>
      </c>
      <c r="G106" s="360">
        <f t="shared" si="13"/>
        <v>1.36392626247858</v>
      </c>
      <c r="H106" s="356"/>
    </row>
    <row r="107" spans="4:8">
      <c r="D107" s="357"/>
      <c r="E107" s="360">
        <f t="shared" si="11"/>
        <v>85.2642088537173</v>
      </c>
      <c r="F107" s="360">
        <f t="shared" si="12"/>
        <v>220.542319642128</v>
      </c>
      <c r="G107" s="360">
        <f t="shared" si="13"/>
        <v>228.513197651429</v>
      </c>
      <c r="H107" s="356"/>
    </row>
    <row r="108" spans="4:8">
      <c r="D108" s="357"/>
      <c r="E108" s="360">
        <f t="shared" si="11"/>
        <v>1.108</v>
      </c>
      <c r="F108" s="360">
        <f t="shared" si="12"/>
        <v>4.69875999999999</v>
      </c>
      <c r="G108" s="360">
        <f t="shared" si="13"/>
        <v>5.44053925021872</v>
      </c>
      <c r="H108" s="356"/>
    </row>
    <row r="109" spans="4:15">
      <c r="D109" s="357"/>
      <c r="E109" s="360">
        <f t="shared" si="11"/>
        <v>1.704</v>
      </c>
      <c r="F109" s="360">
        <f t="shared" si="12"/>
        <v>4.88579999999999</v>
      </c>
      <c r="G109" s="360">
        <f t="shared" si="13"/>
        <v>8.21385585158367</v>
      </c>
      <c r="H109" s="356"/>
      <c r="J109" s="13" t="s">
        <v>250</v>
      </c>
      <c r="K109" s="13" t="s">
        <v>100</v>
      </c>
      <c r="L109" s="51" t="s">
        <v>90</v>
      </c>
      <c r="M109" s="51" t="s">
        <v>96</v>
      </c>
      <c r="N109" s="13" t="s">
        <v>20</v>
      </c>
      <c r="O109" s="51" t="s">
        <v>21</v>
      </c>
    </row>
    <row r="110" spans="4:15">
      <c r="D110" s="357"/>
      <c r="E110" s="360">
        <f t="shared" si="11"/>
        <v>145.471705266064</v>
      </c>
      <c r="F110" s="360">
        <f t="shared" si="12"/>
        <v>348.469155673245</v>
      </c>
      <c r="G110" s="360">
        <f t="shared" si="13"/>
        <v>376.501843878852</v>
      </c>
      <c r="H110" s="360">
        <f>H100*2</f>
        <v>382.512594881087</v>
      </c>
      <c r="J110" s="13" t="s">
        <v>38</v>
      </c>
      <c r="K110" s="13">
        <v>298.617282784857</v>
      </c>
      <c r="L110" s="51">
        <v>555.753321655877</v>
      </c>
      <c r="M110" s="51">
        <v>793.111980320745</v>
      </c>
      <c r="N110" s="13">
        <v>612.733140676279</v>
      </c>
      <c r="O110" s="51">
        <v>844.417666083382</v>
      </c>
    </row>
    <row r="111" spans="4:15">
      <c r="D111" s="354"/>
      <c r="E111" s="355"/>
      <c r="F111" s="356"/>
      <c r="G111" s="344"/>
      <c r="H111" s="356"/>
      <c r="J111" s="13" t="s">
        <v>114</v>
      </c>
      <c r="K111" s="13">
        <v>51.6595814252286</v>
      </c>
      <c r="L111" s="51">
        <v>91.8816703662006</v>
      </c>
      <c r="M111" s="51">
        <v>153.848510193726</v>
      </c>
      <c r="N111" s="13">
        <v>123.108307225296</v>
      </c>
      <c r="O111" s="51">
        <v>258.709803412719</v>
      </c>
    </row>
    <row r="112" spans="4:15">
      <c r="D112" s="354"/>
      <c r="E112" s="355"/>
      <c r="F112" s="356"/>
      <c r="G112" s="344"/>
      <c r="H112" s="356"/>
      <c r="J112" s="13" t="s">
        <v>116</v>
      </c>
      <c r="K112" s="13">
        <v>300.993887469119</v>
      </c>
      <c r="L112" s="51">
        <v>666.242200421795</v>
      </c>
      <c r="M112" s="51">
        <v>1491.86606272059</v>
      </c>
      <c r="N112" s="13">
        <v>781.143788706989</v>
      </c>
      <c r="O112" s="51">
        <v>1660.99244772993</v>
      </c>
    </row>
    <row r="113" spans="4:15">
      <c r="D113" s="357" t="s">
        <v>106</v>
      </c>
      <c r="E113" s="360">
        <f>E93*3</f>
        <v>34.075616864909</v>
      </c>
      <c r="F113" s="360">
        <f>F93*3</f>
        <v>63.4177535993131</v>
      </c>
      <c r="G113" s="360">
        <f>G93*3</f>
        <v>69.9197968295769</v>
      </c>
      <c r="H113" s="356"/>
      <c r="J113" s="13" t="s">
        <v>76</v>
      </c>
      <c r="K113" s="13">
        <v>6.11544189675028</v>
      </c>
      <c r="L113" s="51">
        <v>14.7450231369906</v>
      </c>
      <c r="M113" s="51">
        <v>23.1203814137707</v>
      </c>
      <c r="N113" s="13">
        <v>17.2387418546302</v>
      </c>
      <c r="O113" s="51">
        <v>41.8627341829526</v>
      </c>
    </row>
    <row r="114" spans="4:15">
      <c r="D114" s="357"/>
      <c r="E114" s="360">
        <f t="shared" ref="E114:E120" si="14">E94*3</f>
        <v>-8.48939071261431</v>
      </c>
      <c r="F114" s="360">
        <f t="shared" ref="F114:F120" si="15">F94*3</f>
        <v>-15.0992202713703</v>
      </c>
      <c r="G114" s="360">
        <f t="shared" ref="G114:G120" si="16">G94*3</f>
        <v>-20.230797292014</v>
      </c>
      <c r="H114" s="356"/>
      <c r="J114" s="13" t="s">
        <v>118</v>
      </c>
      <c r="K114" s="13">
        <v>1358.82135292962</v>
      </c>
      <c r="L114" s="51">
        <v>3514.69411589208</v>
      </c>
      <c r="M114" s="51">
        <v>7293.65386537779</v>
      </c>
      <c r="N114" s="13">
        <v>3641.72278813624</v>
      </c>
      <c r="O114" s="51">
        <v>7914.96277540691</v>
      </c>
    </row>
    <row r="115" spans="4:15">
      <c r="D115" s="357"/>
      <c r="E115" s="360">
        <f t="shared" si="14"/>
        <v>59.7812394146013</v>
      </c>
      <c r="F115" s="360">
        <f t="shared" si="15"/>
        <v>132.324230323821</v>
      </c>
      <c r="G115" s="360">
        <f t="shared" si="16"/>
        <v>155.145156742468</v>
      </c>
      <c r="H115" s="356"/>
      <c r="J115" s="13" t="s">
        <v>119</v>
      </c>
      <c r="K115" s="13">
        <v>10.6645</v>
      </c>
      <c r="L115" s="51">
        <v>47.84192</v>
      </c>
      <c r="M115" s="51">
        <v>134.83278</v>
      </c>
      <c r="N115" s="13">
        <v>49.3291645633386</v>
      </c>
      <c r="O115" s="51">
        <v>197.883397127677</v>
      </c>
    </row>
    <row r="116" spans="4:15">
      <c r="D116" s="357"/>
      <c r="E116" s="360">
        <f t="shared" si="14"/>
        <v>0.72577905162486</v>
      </c>
      <c r="F116" s="360">
        <f t="shared" si="15"/>
        <v>1.74993550576263</v>
      </c>
      <c r="G116" s="360">
        <f t="shared" si="16"/>
        <v>2.04588939371787</v>
      </c>
      <c r="H116" s="356"/>
      <c r="J116" s="13" t="s">
        <v>121</v>
      </c>
      <c r="K116" s="13">
        <v>26.0712</v>
      </c>
      <c r="L116" s="51">
        <v>76.5442</v>
      </c>
      <c r="M116" s="51">
        <v>209.2419</v>
      </c>
      <c r="N116" s="13">
        <v>126.58921995047</v>
      </c>
      <c r="O116" s="51">
        <v>397.027457185659</v>
      </c>
    </row>
    <row r="117" spans="4:15">
      <c r="D117" s="357"/>
      <c r="E117" s="360">
        <f t="shared" si="14"/>
        <v>127.896313280576</v>
      </c>
      <c r="F117" s="360">
        <f t="shared" si="15"/>
        <v>330.813479463192</v>
      </c>
      <c r="G117" s="360">
        <f t="shared" si="16"/>
        <v>342.769796477143</v>
      </c>
      <c r="H117" s="356"/>
      <c r="J117" s="13" t="s">
        <v>87</v>
      </c>
      <c r="K117" s="13">
        <v>2052.94324650558</v>
      </c>
      <c r="L117" s="51">
        <v>4917.70821306084</v>
      </c>
      <c r="M117" s="51">
        <v>9924.67957272376</v>
      </c>
      <c r="N117" s="13">
        <v>5313.31447771448</v>
      </c>
      <c r="O117" s="51">
        <v>11355.6335125344</v>
      </c>
    </row>
    <row r="118" spans="4:8">
      <c r="D118" s="357"/>
      <c r="E118" s="360">
        <f t="shared" si="14"/>
        <v>1.662</v>
      </c>
      <c r="F118" s="360">
        <f t="shared" si="15"/>
        <v>7.04813999999999</v>
      </c>
      <c r="G118" s="360">
        <f t="shared" si="16"/>
        <v>8.16080887532808</v>
      </c>
      <c r="H118" s="356"/>
    </row>
    <row r="119" spans="4:8">
      <c r="D119" s="357"/>
      <c r="E119" s="360">
        <f t="shared" si="14"/>
        <v>2.556</v>
      </c>
      <c r="F119" s="360">
        <f t="shared" si="15"/>
        <v>7.32869999999998</v>
      </c>
      <c r="G119" s="360">
        <f t="shared" si="16"/>
        <v>12.3207837773755</v>
      </c>
      <c r="H119" s="356"/>
    </row>
    <row r="120" spans="4:8">
      <c r="D120" s="357"/>
      <c r="E120" s="360">
        <f t="shared" si="14"/>
        <v>218.207557899095</v>
      </c>
      <c r="F120" s="360">
        <f t="shared" si="15"/>
        <v>522.703733509868</v>
      </c>
      <c r="G120" s="360">
        <f t="shared" si="16"/>
        <v>564.752765818278</v>
      </c>
      <c r="H120" s="360">
        <f>H100*3</f>
        <v>573.768892321631</v>
      </c>
    </row>
    <row r="121" spans="4:8">
      <c r="D121" s="354"/>
      <c r="E121" s="355"/>
      <c r="F121" s="356"/>
      <c r="G121" s="344"/>
      <c r="H121" s="356"/>
    </row>
    <row r="122" spans="4:8">
      <c r="D122" s="354"/>
      <c r="E122" s="355"/>
      <c r="F122" s="356"/>
      <c r="G122" s="344"/>
      <c r="H122" s="356"/>
    </row>
    <row r="123" spans="4:8">
      <c r="D123" s="357" t="s">
        <v>107</v>
      </c>
      <c r="E123" s="360">
        <f>E93*4</f>
        <v>45.4341558198787</v>
      </c>
      <c r="F123" s="360">
        <f>F93*4</f>
        <v>84.5570047990841</v>
      </c>
      <c r="G123" s="360">
        <f>G93*4</f>
        <v>93.2263957727691</v>
      </c>
      <c r="H123" s="356"/>
    </row>
    <row r="124" spans="4:8">
      <c r="D124" s="357"/>
      <c r="E124" s="360">
        <f t="shared" ref="E124:E130" si="17">E94*4</f>
        <v>-11.3191876168191</v>
      </c>
      <c r="F124" s="360">
        <f t="shared" ref="F124:F130" si="18">F94*4</f>
        <v>-20.1322936951603</v>
      </c>
      <c r="G124" s="360">
        <f t="shared" ref="G124:G130" si="19">G94*4</f>
        <v>-26.974396389352</v>
      </c>
      <c r="H124" s="356"/>
    </row>
    <row r="125" spans="4:8">
      <c r="D125" s="357"/>
      <c r="E125" s="360">
        <f t="shared" si="17"/>
        <v>79.7083192194684</v>
      </c>
      <c r="F125" s="360">
        <f t="shared" si="18"/>
        <v>176.432307098427</v>
      </c>
      <c r="G125" s="360">
        <f t="shared" si="19"/>
        <v>206.860208989957</v>
      </c>
      <c r="H125" s="356"/>
    </row>
    <row r="126" spans="4:8">
      <c r="D126" s="357"/>
      <c r="E126" s="360">
        <f t="shared" si="17"/>
        <v>0.96770540216648</v>
      </c>
      <c r="F126" s="360">
        <f t="shared" si="18"/>
        <v>2.33324734101684</v>
      </c>
      <c r="G126" s="360">
        <f t="shared" si="19"/>
        <v>2.72785252495716</v>
      </c>
      <c r="H126" s="356"/>
    </row>
    <row r="127" spans="4:8">
      <c r="D127" s="357"/>
      <c r="E127" s="360">
        <f t="shared" si="17"/>
        <v>170.528417707435</v>
      </c>
      <c r="F127" s="360">
        <f t="shared" si="18"/>
        <v>441.084639284256</v>
      </c>
      <c r="G127" s="360">
        <f t="shared" si="19"/>
        <v>457.026395302857</v>
      </c>
      <c r="H127" s="356"/>
    </row>
    <row r="128" spans="4:8">
      <c r="D128" s="357"/>
      <c r="E128" s="360">
        <f t="shared" si="17"/>
        <v>2.216</v>
      </c>
      <c r="F128" s="360">
        <f t="shared" si="18"/>
        <v>9.39751999999999</v>
      </c>
      <c r="G128" s="360">
        <f t="shared" si="19"/>
        <v>10.8810785004374</v>
      </c>
      <c r="H128" s="356"/>
    </row>
    <row r="129" spans="4:8">
      <c r="D129" s="357"/>
      <c r="E129" s="360">
        <f t="shared" si="17"/>
        <v>3.408</v>
      </c>
      <c r="F129" s="360">
        <f t="shared" si="18"/>
        <v>9.77159999999998</v>
      </c>
      <c r="G129" s="360">
        <f t="shared" si="19"/>
        <v>16.4277117031673</v>
      </c>
      <c r="H129" s="356"/>
    </row>
    <row r="130" spans="4:8">
      <c r="D130" s="357"/>
      <c r="E130" s="360">
        <f t="shared" si="17"/>
        <v>290.943410532127</v>
      </c>
      <c r="F130" s="360">
        <f t="shared" si="18"/>
        <v>696.93831134649</v>
      </c>
      <c r="G130" s="360">
        <f t="shared" si="19"/>
        <v>753.003687757704</v>
      </c>
      <c r="H130" s="360">
        <f>H100*4</f>
        <v>765.025189762175</v>
      </c>
    </row>
    <row r="131" spans="4:8">
      <c r="D131" s="354"/>
      <c r="E131" s="355"/>
      <c r="F131" s="356"/>
      <c r="G131" s="344"/>
      <c r="H131" s="356"/>
    </row>
    <row r="132" spans="4:8">
      <c r="D132" s="354"/>
      <c r="E132" s="355"/>
      <c r="F132" s="356"/>
      <c r="G132" s="344"/>
      <c r="H132" s="356"/>
    </row>
    <row r="133" spans="4:8">
      <c r="D133" s="357" t="s">
        <v>108</v>
      </c>
      <c r="E133" s="360">
        <f>E93*5</f>
        <v>56.7926947748484</v>
      </c>
      <c r="F133" s="360">
        <f>F93*5</f>
        <v>105.696255998855</v>
      </c>
      <c r="G133" s="360">
        <f>G93*5</f>
        <v>116.532994715961</v>
      </c>
      <c r="H133" s="356"/>
    </row>
    <row r="134" spans="4:8">
      <c r="D134" s="357"/>
      <c r="E134" s="360">
        <f t="shared" ref="E134:E140" si="20">E94*5</f>
        <v>-14.1489845210238</v>
      </c>
      <c r="F134" s="360">
        <f t="shared" ref="F134:F140" si="21">F94*5</f>
        <v>-25.1653671189504</v>
      </c>
      <c r="G134" s="360">
        <f t="shared" ref="G134:G140" si="22">G94*5</f>
        <v>-33.71799548669</v>
      </c>
      <c r="H134" s="356"/>
    </row>
    <row r="135" spans="4:8">
      <c r="D135" s="357"/>
      <c r="E135" s="360">
        <f t="shared" si="20"/>
        <v>99.6353990243355</v>
      </c>
      <c r="F135" s="360">
        <f t="shared" si="21"/>
        <v>220.540383873034</v>
      </c>
      <c r="G135" s="360">
        <f t="shared" si="22"/>
        <v>258.575261237446</v>
      </c>
      <c r="H135" s="356"/>
    </row>
    <row r="136" spans="4:8">
      <c r="D136" s="357"/>
      <c r="E136" s="360">
        <f t="shared" si="20"/>
        <v>1.2096317527081</v>
      </c>
      <c r="F136" s="360">
        <f t="shared" si="21"/>
        <v>2.91655917627105</v>
      </c>
      <c r="G136" s="360">
        <f t="shared" si="22"/>
        <v>3.40981565619645</v>
      </c>
      <c r="H136" s="356"/>
    </row>
    <row r="137" spans="4:8">
      <c r="D137" s="357"/>
      <c r="E137" s="360">
        <f t="shared" si="20"/>
        <v>213.160522134293</v>
      </c>
      <c r="F137" s="360">
        <f t="shared" si="21"/>
        <v>551.35579910532</v>
      </c>
      <c r="G137" s="360">
        <f t="shared" si="22"/>
        <v>571.282994128571</v>
      </c>
      <c r="H137" s="356"/>
    </row>
    <row r="138" spans="4:8">
      <c r="D138" s="357"/>
      <c r="E138" s="360">
        <f t="shared" si="20"/>
        <v>2.77</v>
      </c>
      <c r="F138" s="360">
        <f t="shared" si="21"/>
        <v>11.7469</v>
      </c>
      <c r="G138" s="360">
        <f t="shared" si="22"/>
        <v>13.6013481255468</v>
      </c>
      <c r="H138" s="356"/>
    </row>
    <row r="139" spans="4:8">
      <c r="D139" s="357"/>
      <c r="E139" s="360">
        <f t="shared" si="20"/>
        <v>4.26</v>
      </c>
      <c r="F139" s="360">
        <f t="shared" si="21"/>
        <v>12.2145</v>
      </c>
      <c r="G139" s="360">
        <f t="shared" si="22"/>
        <v>20.5346396289592</v>
      </c>
      <c r="H139" s="356"/>
    </row>
    <row r="140" spans="4:8">
      <c r="D140" s="357"/>
      <c r="E140" s="360">
        <f t="shared" si="20"/>
        <v>363.679263165159</v>
      </c>
      <c r="F140" s="360">
        <f t="shared" si="21"/>
        <v>871.172889183113</v>
      </c>
      <c r="G140" s="360">
        <f t="shared" si="22"/>
        <v>941.25460969713</v>
      </c>
      <c r="H140" s="360">
        <f>H100*5</f>
        <v>956.281487202718</v>
      </c>
    </row>
    <row r="141" spans="4:8">
      <c r="D141" s="354"/>
      <c r="E141" s="355"/>
      <c r="F141" s="356"/>
      <c r="G141" s="344"/>
      <c r="H141" s="356"/>
    </row>
    <row r="142" spans="4:8">
      <c r="D142" s="354"/>
      <c r="E142" s="355"/>
      <c r="F142" s="356"/>
      <c r="G142" s="344"/>
      <c r="H142" s="356"/>
    </row>
    <row r="143" spans="4:8">
      <c r="D143" s="357" t="s">
        <v>109</v>
      </c>
      <c r="E143" s="360">
        <f>E93*6</f>
        <v>68.151233729818</v>
      </c>
      <c r="F143" s="360">
        <f>F93*6</f>
        <v>126.835507198626</v>
      </c>
      <c r="G143" s="360">
        <f>G93*6</f>
        <v>139.839593659154</v>
      </c>
      <c r="H143" s="356"/>
    </row>
    <row r="144" spans="4:8">
      <c r="D144" s="357"/>
      <c r="E144" s="360">
        <f t="shared" ref="E144:E150" si="23">E94*6</f>
        <v>-16.9787814252286</v>
      </c>
      <c r="F144" s="360">
        <f t="shared" ref="F144:F150" si="24">F94*6</f>
        <v>-30.1984405427405</v>
      </c>
      <c r="G144" s="360">
        <f t="shared" ref="G144:G150" si="25">G94*6</f>
        <v>-40.4615945840279</v>
      </c>
      <c r="H144" s="356"/>
    </row>
    <row r="145" spans="4:8">
      <c r="D145" s="357"/>
      <c r="E145" s="360">
        <f t="shared" si="23"/>
        <v>119.562478829203</v>
      </c>
      <c r="F145" s="360">
        <f t="shared" si="24"/>
        <v>264.648460647641</v>
      </c>
      <c r="G145" s="360">
        <f t="shared" si="25"/>
        <v>310.290313484935</v>
      </c>
      <c r="H145" s="356"/>
    </row>
    <row r="146" spans="4:8">
      <c r="D146" s="357"/>
      <c r="E146" s="360">
        <f t="shared" si="23"/>
        <v>1.45155810324972</v>
      </c>
      <c r="F146" s="360">
        <f t="shared" si="24"/>
        <v>3.49987101152525</v>
      </c>
      <c r="G146" s="360">
        <f t="shared" si="25"/>
        <v>4.09177878743574</v>
      </c>
      <c r="H146" s="356"/>
    </row>
    <row r="147" spans="4:8">
      <c r="D147" s="357"/>
      <c r="E147" s="360">
        <f t="shared" si="23"/>
        <v>255.792626561152</v>
      </c>
      <c r="F147" s="360">
        <f t="shared" si="24"/>
        <v>661.626958926384</v>
      </c>
      <c r="G147" s="360">
        <f t="shared" si="25"/>
        <v>685.539592954286</v>
      </c>
      <c r="H147" s="356"/>
    </row>
    <row r="148" spans="4:8">
      <c r="D148" s="357"/>
      <c r="E148" s="360">
        <f t="shared" si="23"/>
        <v>3.324</v>
      </c>
      <c r="F148" s="360">
        <f t="shared" si="24"/>
        <v>14.09628</v>
      </c>
      <c r="G148" s="360">
        <f t="shared" si="25"/>
        <v>16.3216177506562</v>
      </c>
      <c r="H148" s="356"/>
    </row>
    <row r="149" spans="4:8">
      <c r="D149" s="357"/>
      <c r="E149" s="360">
        <f t="shared" si="23"/>
        <v>5.112</v>
      </c>
      <c r="F149" s="360">
        <f t="shared" si="24"/>
        <v>14.6574</v>
      </c>
      <c r="G149" s="360">
        <f t="shared" si="25"/>
        <v>24.641567554751</v>
      </c>
      <c r="H149" s="356"/>
    </row>
    <row r="150" spans="4:8">
      <c r="D150" s="357"/>
      <c r="E150" s="360">
        <f t="shared" si="23"/>
        <v>436.415115798191</v>
      </c>
      <c r="F150" s="360">
        <f t="shared" si="24"/>
        <v>1045.40746701974</v>
      </c>
      <c r="G150" s="360">
        <f t="shared" si="25"/>
        <v>1129.50553163656</v>
      </c>
      <c r="H150" s="360">
        <f>H100*6</f>
        <v>1147.53778464326</v>
      </c>
    </row>
  </sheetData>
  <mergeCells count="51">
    <mergeCell ref="BE5:BJ5"/>
    <mergeCell ref="BK5:BN5"/>
    <mergeCell ref="BO5:BS5"/>
    <mergeCell ref="BK6:BL6"/>
    <mergeCell ref="BK7:BL7"/>
    <mergeCell ref="BN8:BO8"/>
    <mergeCell ref="BN9:BO9"/>
    <mergeCell ref="BN10:BO10"/>
    <mergeCell ref="BN11:BO11"/>
    <mergeCell ref="BN12:BO12"/>
    <mergeCell ref="BN13:BO13"/>
    <mergeCell ref="BN14:BO14"/>
    <mergeCell ref="BN15:BO15"/>
    <mergeCell ref="BN16:BO16"/>
    <mergeCell ref="BN17:BO17"/>
    <mergeCell ref="BN18:BO18"/>
    <mergeCell ref="BN19:BO19"/>
    <mergeCell ref="BN20:BO20"/>
    <mergeCell ref="BN21:BO21"/>
    <mergeCell ref="BN22:BO22"/>
    <mergeCell ref="BN23:BO23"/>
    <mergeCell ref="BN24:BO24"/>
    <mergeCell ref="BN25:BO25"/>
    <mergeCell ref="BN26:BO26"/>
    <mergeCell ref="BN27:BO27"/>
    <mergeCell ref="BN28:BO28"/>
    <mergeCell ref="BN29:BO29"/>
    <mergeCell ref="BN30:BO30"/>
    <mergeCell ref="BN31:BO31"/>
    <mergeCell ref="BN32:BO32"/>
    <mergeCell ref="BN33:BO33"/>
    <mergeCell ref="BN34:BO34"/>
    <mergeCell ref="BN35:BO35"/>
    <mergeCell ref="BN36:BO36"/>
    <mergeCell ref="BN37:BO37"/>
    <mergeCell ref="BN38:BO38"/>
    <mergeCell ref="BN39:BO39"/>
    <mergeCell ref="BN40:BO40"/>
    <mergeCell ref="E58:G58"/>
    <mergeCell ref="H58:J58"/>
    <mergeCell ref="K58:M58"/>
    <mergeCell ref="N58:P58"/>
    <mergeCell ref="D4:D29"/>
    <mergeCell ref="D30:D33"/>
    <mergeCell ref="D34:D37"/>
    <mergeCell ref="D39:D50"/>
    <mergeCell ref="BE6:BG7"/>
    <mergeCell ref="BH6:BJ7"/>
    <mergeCell ref="BM6:BN7"/>
    <mergeCell ref="BO6:BQ7"/>
    <mergeCell ref="BR6:BS7"/>
  </mergeCells>
  <pageMargins left="0.75" right="0.75" top="1" bottom="1" header="0.5" footer="0.5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50"/>
  <sheetViews>
    <sheetView tabSelected="1" zoomScale="49" zoomScaleNormal="49" topLeftCell="A43" workbookViewId="0">
      <selection activeCell="J75" sqref="J75"/>
    </sheetView>
  </sheetViews>
  <sheetFormatPr defaultColWidth="8.72727272727273" defaultRowHeight="14.5"/>
  <cols>
    <col min="4" max="4" width="14.0909090909091" customWidth="1"/>
    <col min="5" max="5" width="21.8181818181818" style="177" customWidth="1"/>
    <col min="6" max="6" width="35" style="13" customWidth="1"/>
    <col min="7" max="7" width="20.4545454545455" style="51" customWidth="1"/>
    <col min="8" max="8" width="36" style="13" customWidth="1"/>
    <col min="9" max="9" width="43.1818181818182" style="13" customWidth="1"/>
    <col min="10" max="10" width="47" style="13" customWidth="1"/>
    <col min="11" max="11" width="48.0909090909091" style="13" customWidth="1"/>
    <col min="12" max="14" width="7.45454545454545" style="51" customWidth="1"/>
    <col min="15" max="15" width="39.2727272727273" style="13" customWidth="1"/>
    <col min="16" max="16" width="25.8181818181818" style="176" customWidth="1"/>
    <col min="37" max="37" width="13.9090909090909" customWidth="1"/>
    <col min="56" max="56" width="27.6363636363636" style="178" customWidth="1"/>
    <col min="57" max="57" width="7.72727272727273" style="179" customWidth="1"/>
    <col min="58" max="58" width="9.63636363636364" style="179"/>
    <col min="59" max="59" width="9.45454545454546" style="179" customWidth="1"/>
    <col min="60" max="60" width="9.63636363636364" style="179"/>
    <col min="61" max="61" width="9.81818181818182" style="179" customWidth="1"/>
    <col min="62" max="62" width="9.63636363636364" style="178"/>
    <col min="63" max="63" width="9.90909090909091" style="178" customWidth="1"/>
    <col min="72" max="72" width="8.72727272727273" style="180"/>
  </cols>
  <sheetData>
    <row r="1" ht="23.5" spans="1:63">
      <c r="A1" s="181" t="s">
        <v>26</v>
      </c>
      <c r="BD1" s="235" t="s">
        <v>110</v>
      </c>
      <c r="BE1" s="235"/>
      <c r="BF1" s="235"/>
      <c r="BG1" s="235"/>
      <c r="BH1" s="235"/>
      <c r="BI1" s="235"/>
      <c r="BJ1" s="235"/>
      <c r="BK1" s="235"/>
    </row>
    <row r="2" spans="56:68">
      <c r="BD2" s="178" t="s">
        <v>111</v>
      </c>
      <c r="BE2" s="179">
        <v>2023</v>
      </c>
      <c r="BF2" s="179" t="s">
        <v>90</v>
      </c>
      <c r="BG2" s="179" t="s">
        <v>96</v>
      </c>
      <c r="BH2" s="179" t="s">
        <v>20</v>
      </c>
      <c r="BI2" s="179" t="s">
        <v>21</v>
      </c>
      <c r="BJ2" s="178" t="s">
        <v>91</v>
      </c>
      <c r="BK2" s="178" t="s">
        <v>112</v>
      </c>
      <c r="BP2" s="236"/>
    </row>
    <row r="3" spans="4:68">
      <c r="D3" s="182"/>
      <c r="E3" s="182"/>
      <c r="F3" s="183" t="s">
        <v>27</v>
      </c>
      <c r="G3" s="184" t="s">
        <v>28</v>
      </c>
      <c r="H3" s="183" t="s">
        <v>29</v>
      </c>
      <c r="I3" s="183" t="s">
        <v>30</v>
      </c>
      <c r="J3" s="183" t="s">
        <v>31</v>
      </c>
      <c r="K3" s="183" t="s">
        <v>32</v>
      </c>
      <c r="L3" s="184" t="s">
        <v>33</v>
      </c>
      <c r="M3" s="184" t="s">
        <v>34</v>
      </c>
      <c r="N3" s="184" t="s">
        <v>35</v>
      </c>
      <c r="O3" s="183" t="s">
        <v>36</v>
      </c>
      <c r="P3" s="203"/>
      <c r="V3" t="s">
        <v>116</v>
      </c>
      <c r="BD3" s="178" t="s">
        <v>113</v>
      </c>
      <c r="BE3" s="179">
        <v>301.271371601878</v>
      </c>
      <c r="BF3" s="179">
        <v>560.692816993433</v>
      </c>
      <c r="BG3" s="179">
        <v>800.16110225362</v>
      </c>
      <c r="BH3" s="179">
        <v>618.179068525201</v>
      </c>
      <c r="BI3" s="179">
        <v>851.922789241513</v>
      </c>
      <c r="BK3" s="178" t="s">
        <v>98</v>
      </c>
      <c r="BP3" s="237"/>
    </row>
    <row r="4" spans="4:68">
      <c r="D4" s="182" t="s">
        <v>38</v>
      </c>
      <c r="E4" s="183" t="s">
        <v>39</v>
      </c>
      <c r="F4" s="185">
        <f>Attached_WEO2023!B12</f>
        <v>750</v>
      </c>
      <c r="G4" s="186">
        <f>Attached_WEO2023!F12</f>
        <v>990</v>
      </c>
      <c r="H4" s="183"/>
      <c r="I4" s="183"/>
      <c r="J4" s="183"/>
      <c r="K4" s="183"/>
      <c r="L4" s="184"/>
      <c r="M4" s="184"/>
      <c r="N4" s="184"/>
      <c r="O4" s="183">
        <f>AVERAGE('Attached-DIB_GNESTE_Solar_Power'!W70:W74)</f>
        <v>860.90269</v>
      </c>
      <c r="P4" s="203"/>
      <c r="V4" s="212"/>
      <c r="W4" s="213"/>
      <c r="X4" s="212" t="s">
        <v>40</v>
      </c>
      <c r="Y4" s="212"/>
      <c r="Z4" s="212"/>
      <c r="AA4" s="212"/>
      <c r="AB4" s="212"/>
      <c r="AC4" s="213"/>
      <c r="AD4" s="212" t="s">
        <v>41</v>
      </c>
      <c r="AE4" s="212"/>
      <c r="AF4" s="212"/>
      <c r="AG4" s="212"/>
      <c r="AH4" s="212"/>
      <c r="BD4" s="178" t="s">
        <v>114</v>
      </c>
      <c r="BE4" s="179">
        <v>52.2375947585621</v>
      </c>
      <c r="BF4" s="179">
        <v>92.9097241965916</v>
      </c>
      <c r="BG4" s="179">
        <v>155.569904129799</v>
      </c>
      <c r="BH4" s="179">
        <v>124.485752435984</v>
      </c>
      <c r="BI4" s="179">
        <v>261.604478741304</v>
      </c>
      <c r="BK4" s="178" t="s">
        <v>98</v>
      </c>
      <c r="BP4" s="237"/>
    </row>
    <row r="5" spans="4:68">
      <c r="D5" s="182"/>
      <c r="E5" s="187" t="s">
        <v>42</v>
      </c>
      <c r="F5" s="183"/>
      <c r="G5" s="184"/>
      <c r="H5" s="188">
        <f>'Attached-IRENA2024 report'!J20</f>
        <v>626.345636479765</v>
      </c>
      <c r="I5" s="183"/>
      <c r="J5" s="183"/>
      <c r="K5" s="183"/>
      <c r="L5" s="184"/>
      <c r="M5" s="184"/>
      <c r="N5" s="184"/>
      <c r="O5" s="183"/>
      <c r="P5" s="203"/>
      <c r="V5" s="214">
        <v>2023</v>
      </c>
      <c r="W5" s="215"/>
      <c r="X5" s="214">
        <v>2030</v>
      </c>
      <c r="Y5" s="214">
        <v>2035</v>
      </c>
      <c r="Z5" s="214">
        <v>2040</v>
      </c>
      <c r="AA5" s="214">
        <v>2045</v>
      </c>
      <c r="AB5" s="214">
        <v>2050</v>
      </c>
      <c r="AC5" s="215"/>
      <c r="AD5" s="214">
        <v>2030</v>
      </c>
      <c r="AE5" s="214">
        <v>2035</v>
      </c>
      <c r="AF5" s="214">
        <v>2040</v>
      </c>
      <c r="AG5" s="214">
        <v>2045</v>
      </c>
      <c r="AH5" s="214">
        <v>2050</v>
      </c>
      <c r="BD5" s="178" t="s">
        <v>116</v>
      </c>
      <c r="BE5" s="179">
        <v>301.646560546042</v>
      </c>
      <c r="BF5" s="179">
        <v>667.686875430253</v>
      </c>
      <c r="BG5" s="179">
        <v>1495.10101483773</v>
      </c>
      <c r="BH5" s="179">
        <v>782.837615529791</v>
      </c>
      <c r="BI5" s="179">
        <v>1664.59413233795</v>
      </c>
      <c r="BK5" s="178" t="s">
        <v>98</v>
      </c>
      <c r="BP5" s="237"/>
    </row>
    <row r="6" spans="4:68">
      <c r="D6" s="182"/>
      <c r="E6" s="189" t="s">
        <v>43</v>
      </c>
      <c r="F6" s="183"/>
      <c r="G6" s="184"/>
      <c r="H6" s="188">
        <f>'Attached-IRENA2024 report'!J22</f>
        <v>753.199942043778</v>
      </c>
      <c r="I6" s="204">
        <f>'Attached-IEA2020Projected Costs'!K39</f>
        <v>819.399970080133</v>
      </c>
      <c r="J6" s="204">
        <f>'Attached-IEA2020Projected Costs'!L39</f>
        <v>835.159105087596</v>
      </c>
      <c r="K6" s="204">
        <f>'Attached-IEA2020Projected Costs'!M39</f>
        <v>846.786009386821</v>
      </c>
      <c r="L6" s="205">
        <f>'Attached-IEA2020Projected Costs'!K38</f>
        <v>858.483192337245</v>
      </c>
      <c r="M6" s="205">
        <f>'Attached-IEA2020Projected Costs'!L38</f>
        <v>874.993996613156</v>
      </c>
      <c r="N6" s="205">
        <f>'Attached-IEA2020Projected Costs'!M38</f>
        <v>887.175473650338</v>
      </c>
      <c r="O6" s="183">
        <f>AVERAGE('Attached-DIB_GNESTE_Solar_Power'!V66:V68)</f>
        <v>787.414483333333</v>
      </c>
      <c r="P6" s="203"/>
      <c r="V6" s="216">
        <v>188.55</v>
      </c>
      <c r="W6" s="216"/>
      <c r="X6" s="216">
        <v>608.6</v>
      </c>
      <c r="Y6" s="216">
        <v>973.35</v>
      </c>
      <c r="Z6" s="216">
        <v>1356.32</v>
      </c>
      <c r="AA6" s="216">
        <v>1718.79</v>
      </c>
      <c r="AB6" s="216">
        <v>1998.23</v>
      </c>
      <c r="AC6" s="231"/>
      <c r="AD6" s="216">
        <v>769.55</v>
      </c>
      <c r="AE6" s="216">
        <v>1311.5</v>
      </c>
      <c r="AF6" s="216">
        <v>1768.76</v>
      </c>
      <c r="AG6" s="216">
        <v>2146.99</v>
      </c>
      <c r="AH6" s="216">
        <v>2341.13</v>
      </c>
      <c r="BD6" s="178" t="s">
        <v>76</v>
      </c>
      <c r="BE6" s="179">
        <v>7.67584189675027</v>
      </c>
      <c r="BF6" s="179">
        <v>18.5073242905976</v>
      </c>
      <c r="BG6" s="179">
        <v>29.0197168611762</v>
      </c>
      <c r="BH6" s="179">
        <v>21.6373336888947</v>
      </c>
      <c r="BI6" s="179">
        <v>52.5443188536844</v>
      </c>
      <c r="BK6" s="178" t="s">
        <v>98</v>
      </c>
      <c r="BP6" s="237"/>
    </row>
    <row r="7" spans="4:68">
      <c r="D7" s="182"/>
      <c r="E7" s="190" t="s">
        <v>44</v>
      </c>
      <c r="F7" s="183"/>
      <c r="G7" s="184"/>
      <c r="H7" s="188">
        <f>'Attached-IRENA2024 report'!J24</f>
        <v>730.770056340242</v>
      </c>
      <c r="I7" s="183"/>
      <c r="J7" s="183"/>
      <c r="K7" s="183"/>
      <c r="L7" s="184"/>
      <c r="M7" s="184"/>
      <c r="N7" s="184"/>
      <c r="O7" s="183">
        <f>AVERAGE('Attached-DIB_GNESTE_Solar_Power'!X89:X90)</f>
        <v>757.7542</v>
      </c>
      <c r="P7" s="203"/>
      <c r="BD7" s="178" t="s">
        <v>118</v>
      </c>
      <c r="BE7" s="179">
        <v>1358.99883116492</v>
      </c>
      <c r="BF7" s="179">
        <v>3515.15317675976</v>
      </c>
      <c r="BG7" s="179">
        <v>7294.60650334899</v>
      </c>
      <c r="BH7" s="179">
        <v>3642.19844045984</v>
      </c>
      <c r="BI7" s="179">
        <v>7915.9965637138</v>
      </c>
      <c r="BK7" s="178" t="s">
        <v>98</v>
      </c>
      <c r="BP7" s="237"/>
    </row>
    <row r="8" spans="4:68">
      <c r="D8" s="182"/>
      <c r="E8" s="467" t="s">
        <v>45</v>
      </c>
      <c r="F8" s="183"/>
      <c r="G8" s="184"/>
      <c r="H8" s="188">
        <f>'Attached-IRENA2024 report'!J26</f>
        <v>932.69057682304</v>
      </c>
      <c r="I8" s="183"/>
      <c r="J8" s="183"/>
      <c r="K8" s="183"/>
      <c r="L8" s="184"/>
      <c r="M8" s="184"/>
      <c r="N8" s="184"/>
      <c r="O8" s="183"/>
      <c r="P8" s="203"/>
      <c r="BD8" s="178" t="s">
        <v>119</v>
      </c>
      <c r="BE8" s="179">
        <v>10.803</v>
      </c>
      <c r="BF8" s="179">
        <v>43.1567719755572</v>
      </c>
      <c r="BG8" s="179">
        <v>134.83278</v>
      </c>
      <c r="BH8" s="179">
        <v>49.9698030641612</v>
      </c>
      <c r="BI8" s="179">
        <v>200.453311376089</v>
      </c>
      <c r="BK8" s="178" t="s">
        <v>98</v>
      </c>
      <c r="BP8" s="238"/>
    </row>
    <row r="9" spans="4:68">
      <c r="D9" s="182"/>
      <c r="E9" s="183" t="s">
        <v>46</v>
      </c>
      <c r="F9" s="183"/>
      <c r="G9" s="184"/>
      <c r="H9" s="188">
        <f>'Attached-IRENA2024 report'!J28</f>
        <v>723.269642287587</v>
      </c>
      <c r="I9" s="183"/>
      <c r="J9" s="183"/>
      <c r="K9" s="183"/>
      <c r="L9" s="184"/>
      <c r="M9" s="184"/>
      <c r="N9" s="184"/>
      <c r="O9" s="183"/>
      <c r="P9" s="203"/>
      <c r="BD9" s="178" t="s">
        <v>121</v>
      </c>
      <c r="BE9" s="179">
        <v>27.9456</v>
      </c>
      <c r="BF9" s="179">
        <v>80.7119331214119</v>
      </c>
      <c r="BG9" s="179">
        <v>217.87728</v>
      </c>
      <c r="BH9" s="179">
        <v>135.690405698543</v>
      </c>
      <c r="BI9" s="179">
        <v>425.571914891817</v>
      </c>
      <c r="BK9" s="178" t="s">
        <v>98</v>
      </c>
      <c r="BP9" s="238"/>
    </row>
    <row r="10" spans="4:68">
      <c r="D10" s="182"/>
      <c r="E10" s="190" t="s">
        <v>47</v>
      </c>
      <c r="F10" s="183"/>
      <c r="G10" s="184"/>
      <c r="H10" s="188">
        <f>'Attached-IRENA2024 report'!J30</f>
        <v>954.780120798756</v>
      </c>
      <c r="I10" s="204" cm="1">
        <f t="array" ref="I10:K10">'Attached-IEA2020Projected Costs'!K21:M21</f>
        <v>718.771903579064</v>
      </c>
      <c r="J10" s="183">
        <v>732.59570621719</v>
      </c>
      <c r="K10" s="183">
        <v>742.794745076159</v>
      </c>
      <c r="L10" s="184">
        <f>AVERAGE('Attached-IEA2020Projected Costs'!K19:K20)</f>
        <v>1293.78942644231</v>
      </c>
      <c r="M10" s="184">
        <f>AVERAGE('Attached-IEA2020Projected Costs'!L19:L20)</f>
        <v>1318.67227119094</v>
      </c>
      <c r="N10" s="184">
        <f>AVERAGE('Attached-IEA2020Projected Costs'!M19:M20)</f>
        <v>1337.03054113709</v>
      </c>
      <c r="O10" s="183"/>
      <c r="P10" s="203"/>
      <c r="V10" t="s">
        <v>114</v>
      </c>
      <c r="BD10" s="178" t="s">
        <v>87</v>
      </c>
      <c r="BE10" s="179">
        <v>1809.92775633801</v>
      </c>
      <c r="BF10" s="179">
        <v>4335.57849567473</v>
      </c>
      <c r="BG10" s="179">
        <v>8749.85368543885</v>
      </c>
      <c r="BH10" s="179">
        <v>4684.35518991437</v>
      </c>
      <c r="BI10" s="179">
        <v>10011.4196143134</v>
      </c>
      <c r="BJ10" s="178">
        <v>4759.13966470609</v>
      </c>
      <c r="BK10" s="178">
        <v>10532.9374083981</v>
      </c>
      <c r="BP10" s="239"/>
    </row>
    <row r="11" spans="4:68">
      <c r="D11" s="182"/>
      <c r="E11" s="467" t="s">
        <v>49</v>
      </c>
      <c r="F11" s="183"/>
      <c r="G11" s="184"/>
      <c r="H11" s="188">
        <f>'Attached-IRENA2024 report'!J32</f>
        <v>821.340789143001</v>
      </c>
      <c r="I11" s="183">
        <f>AVERAGE('Attached-IEA2020Projected Costs'!K31:K32)</f>
        <v>844.088155965248</v>
      </c>
      <c r="J11" s="183">
        <f>AVERAGE('Attached-IEA2020Projected Costs'!L31:L32)</f>
        <v>860.322107263484</v>
      </c>
      <c r="K11" s="183">
        <f>AVERAGE('Attached-IEA2020Projected Costs'!M31:M32)</f>
        <v>872.299325432723</v>
      </c>
      <c r="L11" s="184">
        <f>AVERAGE('Attached-IEA2020Projected Costs'!K26:K30)</f>
        <v>1347.02977522693</v>
      </c>
      <c r="M11" s="184">
        <f>AVERAGE('Attached-IEA2020Projected Costs'!L26:L30)</f>
        <v>1372.93656661331</v>
      </c>
      <c r="N11" s="184">
        <f>AVERAGE('Attached-IEA2020Projected Costs'!M26:M30)</f>
        <v>1392.05029233536</v>
      </c>
      <c r="O11" s="183"/>
      <c r="P11" s="203"/>
      <c r="V11" s="212"/>
      <c r="W11" s="213"/>
      <c r="X11" s="212" t="s">
        <v>40</v>
      </c>
      <c r="Y11" s="212"/>
      <c r="Z11" s="212"/>
      <c r="AA11" s="212"/>
      <c r="AB11" s="212"/>
      <c r="AC11" s="213"/>
      <c r="AD11" s="212" t="s">
        <v>41</v>
      </c>
      <c r="AE11" s="212"/>
      <c r="AF11" s="212"/>
      <c r="AG11" s="212"/>
      <c r="AH11" s="212"/>
      <c r="BD11" s="178" t="s">
        <v>123</v>
      </c>
      <c r="BE11" s="178"/>
      <c r="BF11" s="178"/>
      <c r="BG11" s="178"/>
      <c r="BH11" s="178"/>
      <c r="BI11" s="178"/>
      <c r="BP11" s="240"/>
    </row>
    <row r="12" spans="4:71">
      <c r="D12" s="182"/>
      <c r="E12" s="467" t="s">
        <v>50</v>
      </c>
      <c r="F12" s="183"/>
      <c r="G12" s="184"/>
      <c r="H12" s="192">
        <f>'Attached-IRENA2024 report'!J57</f>
        <v>670.767173185107</v>
      </c>
      <c r="I12" s="183"/>
      <c r="J12" s="183"/>
      <c r="K12" s="183"/>
      <c r="L12" s="184"/>
      <c r="M12" s="184"/>
      <c r="N12" s="184"/>
      <c r="O12" s="183"/>
      <c r="P12" s="203"/>
      <c r="V12" s="214">
        <v>2023</v>
      </c>
      <c r="W12" s="215"/>
      <c r="X12" s="214">
        <v>2030</v>
      </c>
      <c r="Y12" s="214">
        <v>2035</v>
      </c>
      <c r="Z12" s="214">
        <v>2040</v>
      </c>
      <c r="AA12" s="214">
        <v>2045</v>
      </c>
      <c r="AB12" s="214">
        <v>2050</v>
      </c>
      <c r="AC12" s="215"/>
      <c r="AD12" s="214">
        <v>2030</v>
      </c>
      <c r="AE12" s="214">
        <v>2035</v>
      </c>
      <c r="AF12" s="214">
        <v>2040</v>
      </c>
      <c r="AG12" s="214">
        <v>2045</v>
      </c>
      <c r="AH12" s="214">
        <v>2050</v>
      </c>
      <c r="BD12" s="178" t="s">
        <v>113</v>
      </c>
      <c r="BE12" s="179">
        <v>11.6159888187993</v>
      </c>
      <c r="BF12" s="179">
        <v>21.6183882934073</v>
      </c>
      <c r="BG12" s="179">
        <v>30.8514624791468</v>
      </c>
      <c r="BH12" s="179">
        <v>23.8348606102998</v>
      </c>
      <c r="BI12" s="179">
        <v>32.8472152587635</v>
      </c>
      <c r="BK12" s="178" t="s">
        <v>98</v>
      </c>
      <c r="BM12" s="241">
        <f>BE3+BE12</f>
        <v>312.887360420677</v>
      </c>
      <c r="BN12" s="241">
        <f t="shared" ref="BN12:BS19" si="0">BF3+BF12</f>
        <v>582.31120528684</v>
      </c>
      <c r="BO12" s="241">
        <f t="shared" si="0"/>
        <v>831.012564732767</v>
      </c>
      <c r="BP12" s="241">
        <f t="shared" si="0"/>
        <v>642.013929135501</v>
      </c>
      <c r="BQ12" s="241">
        <f t="shared" si="0"/>
        <v>884.770004500277</v>
      </c>
      <c r="BR12" s="179" t="s">
        <v>98</v>
      </c>
      <c r="BS12" s="179" t="s">
        <v>98</v>
      </c>
    </row>
    <row r="13" spans="4:71">
      <c r="D13" s="182"/>
      <c r="E13" s="467" t="s">
        <v>51</v>
      </c>
      <c r="F13" s="183"/>
      <c r="G13" s="184"/>
      <c r="H13" s="192">
        <f>'Attached-IRENA2024 report'!J58</f>
        <v>715.36</v>
      </c>
      <c r="I13" s="183"/>
      <c r="J13" s="183"/>
      <c r="K13" s="183"/>
      <c r="L13" s="184"/>
      <c r="M13" s="184"/>
      <c r="N13" s="184"/>
      <c r="O13" s="183"/>
      <c r="P13" s="203"/>
      <c r="V13" s="216">
        <v>61.93</v>
      </c>
      <c r="W13" s="216"/>
      <c r="X13" s="216">
        <v>144.78</v>
      </c>
      <c r="Y13" s="216">
        <v>176.87</v>
      </c>
      <c r="Z13" s="216">
        <v>219.78</v>
      </c>
      <c r="AA13" s="216">
        <v>258.21</v>
      </c>
      <c r="AB13" s="216">
        <v>309.64</v>
      </c>
      <c r="AC13" s="231"/>
      <c r="AD13" s="216">
        <v>222.89</v>
      </c>
      <c r="AE13" s="216">
        <v>321.92</v>
      </c>
      <c r="AF13" s="216">
        <v>432.17</v>
      </c>
      <c r="AG13" s="216">
        <v>534.61</v>
      </c>
      <c r="AH13" s="216">
        <v>666.41</v>
      </c>
      <c r="BD13" s="178" t="s">
        <v>114</v>
      </c>
      <c r="BE13" s="179">
        <v>-2.71969912642705</v>
      </c>
      <c r="BF13" s="179">
        <v>-4.83725364657271</v>
      </c>
      <c r="BG13" s="179">
        <v>-8.099594445642</v>
      </c>
      <c r="BH13" s="179">
        <v>-6.48122858101699</v>
      </c>
      <c r="BI13" s="179">
        <v>-13.6201805536902</v>
      </c>
      <c r="BK13" s="178" t="s">
        <v>98</v>
      </c>
      <c r="BM13" s="241">
        <f t="shared" ref="BM13:BM19" si="1">BE4+BE13</f>
        <v>49.5178956321351</v>
      </c>
      <c r="BN13" s="241">
        <f t="shared" si="0"/>
        <v>88.0724705500189</v>
      </c>
      <c r="BO13" s="241">
        <f t="shared" si="0"/>
        <v>147.470309684157</v>
      </c>
      <c r="BP13" s="241">
        <f t="shared" si="0"/>
        <v>118.004523854967</v>
      </c>
      <c r="BQ13" s="241">
        <f t="shared" si="0"/>
        <v>247.984298187614</v>
      </c>
      <c r="BR13" s="179" t="s">
        <v>98</v>
      </c>
      <c r="BS13" s="179" t="s">
        <v>98</v>
      </c>
    </row>
    <row r="14" spans="4:71">
      <c r="D14" s="182"/>
      <c r="E14" s="467" t="s">
        <v>52</v>
      </c>
      <c r="F14" s="183"/>
      <c r="G14" s="184"/>
      <c r="H14" s="183">
        <f>'Attached-IRENA2024 report'!J62</f>
        <v>1078</v>
      </c>
      <c r="I14" s="204">
        <f>'Attached-IEA2020Projected Costs'!K25</f>
        <v>978.037474432965</v>
      </c>
      <c r="J14" s="204">
        <f>'Attached-IEA2020Projected Costs'!L25</f>
        <v>996.847610098994</v>
      </c>
      <c r="K14" s="204">
        <f>'Attached-IEA2020Projected Costs'!M25</f>
        <v>1010.72550676913</v>
      </c>
      <c r="L14" s="184">
        <f>AVERAGE('Attached-IEA2020Projected Costs'!K22:K24)</f>
        <v>1445.27196682721</v>
      </c>
      <c r="M14" s="184">
        <f>AVERAGE('Attached-IEA2020Projected Costs'!L22:L24)</f>
        <v>1473.06820417086</v>
      </c>
      <c r="N14" s="184">
        <f>AVERAGE('Attached-IEA2020Projected Costs'!M22:M24)</f>
        <v>1493.57594087851</v>
      </c>
      <c r="O14" s="183"/>
      <c r="P14" s="203"/>
      <c r="BD14" s="178" t="s">
        <v>116</v>
      </c>
      <c r="BE14" s="179">
        <v>20.053988458713</v>
      </c>
      <c r="BF14" s="179">
        <v>44.3889858040299</v>
      </c>
      <c r="BG14" s="179">
        <v>99.3969181743412</v>
      </c>
      <c r="BH14" s="179">
        <v>52.0444074630328</v>
      </c>
      <c r="BI14" s="179">
        <v>110.665115683465</v>
      </c>
      <c r="BK14" s="178" t="s">
        <v>98</v>
      </c>
      <c r="BM14" s="241">
        <f t="shared" si="1"/>
        <v>321.700549004755</v>
      </c>
      <c r="BN14" s="241">
        <f t="shared" si="0"/>
        <v>712.075861234283</v>
      </c>
      <c r="BO14" s="241">
        <f t="shared" si="0"/>
        <v>1594.49793301207</v>
      </c>
      <c r="BP14" s="241">
        <f t="shared" si="0"/>
        <v>834.882022992824</v>
      </c>
      <c r="BQ14" s="241">
        <f t="shared" si="0"/>
        <v>1775.25924802142</v>
      </c>
      <c r="BR14" s="179" t="s">
        <v>98</v>
      </c>
      <c r="BS14" s="179" t="s">
        <v>98</v>
      </c>
    </row>
    <row r="15" spans="4:71">
      <c r="D15" s="182"/>
      <c r="E15" s="467" t="s">
        <v>53</v>
      </c>
      <c r="F15" s="183"/>
      <c r="G15" s="184"/>
      <c r="H15" s="183">
        <f>'Attached-IRENA2024 report'!J63</f>
        <v>965</v>
      </c>
      <c r="I15" s="204">
        <f>'Attached-IEA2020Projected Costs'!K12</f>
        <v>1006.28066501069</v>
      </c>
      <c r="J15" s="204">
        <f>'Attached-IEA2020Projected Costs'!L12</f>
        <v>1025.63398870407</v>
      </c>
      <c r="K15" s="204">
        <f>'Attached-IEA2020Projected Costs'!M12</f>
        <v>1039.91264310662</v>
      </c>
      <c r="L15" s="184">
        <f>AVERAGE('Attached-IEA2020Projected Costs'!K9:K11)</f>
        <v>1419.33491893413</v>
      </c>
      <c r="M15" s="184">
        <f>AVERAGE('Attached-IEA2020Projected Costs'!L9:L11)</f>
        <v>1446.63232121021</v>
      </c>
      <c r="N15" s="184">
        <f>AVERAGE('Attached-IEA2020Projected Costs'!M9:M11)</f>
        <v>1466.77202327705</v>
      </c>
      <c r="O15" s="183"/>
      <c r="P15" s="203"/>
      <c r="BD15" s="178" t="s">
        <v>76</v>
      </c>
      <c r="BE15" s="179">
        <v>0.451859683874956</v>
      </c>
      <c r="BF15" s="179">
        <v>1.08948488202461</v>
      </c>
      <c r="BG15" s="179">
        <v>1.70832597432516</v>
      </c>
      <c r="BH15" s="179">
        <v>1.27374155070861</v>
      </c>
      <c r="BI15" s="179">
        <v>3.09316679864163</v>
      </c>
      <c r="BK15" s="178" t="s">
        <v>98</v>
      </c>
      <c r="BM15" s="241">
        <f t="shared" si="1"/>
        <v>8.12770158062523</v>
      </c>
      <c r="BN15" s="241">
        <f t="shared" si="0"/>
        <v>19.5968091726222</v>
      </c>
      <c r="BO15" s="241">
        <f t="shared" si="0"/>
        <v>30.7280428355014</v>
      </c>
      <c r="BP15" s="241">
        <f t="shared" si="0"/>
        <v>22.9110752396033</v>
      </c>
      <c r="BQ15" s="241">
        <f t="shared" si="0"/>
        <v>55.637485652326</v>
      </c>
      <c r="BR15" s="179" t="s">
        <v>98</v>
      </c>
      <c r="BS15" s="179" t="s">
        <v>98</v>
      </c>
    </row>
    <row r="16" spans="4:71">
      <c r="D16" s="182"/>
      <c r="E16" s="468" t="s">
        <v>54</v>
      </c>
      <c r="F16" s="183"/>
      <c r="G16" s="184"/>
      <c r="H16" s="183">
        <f>'Attached-IRENA2024 report'!J64</f>
        <v>854</v>
      </c>
      <c r="I16" s="183"/>
      <c r="J16" s="183"/>
      <c r="K16" s="183"/>
      <c r="L16" s="184"/>
      <c r="M16" s="184"/>
      <c r="N16" s="184"/>
      <c r="O16" s="183"/>
      <c r="P16" s="203"/>
      <c r="V16" t="s">
        <v>113</v>
      </c>
      <c r="BD16" s="178" t="s">
        <v>118</v>
      </c>
      <c r="BE16" s="179">
        <v>42.6025247209736</v>
      </c>
      <c r="BF16" s="179">
        <v>110.194649676458</v>
      </c>
      <c r="BG16" s="179">
        <v>228.67470284896</v>
      </c>
      <c r="BH16" s="179">
        <v>114.177323438443</v>
      </c>
      <c r="BI16" s="179">
        <v>248.154326231237</v>
      </c>
      <c r="BK16" s="178" t="s">
        <v>98</v>
      </c>
      <c r="BM16" s="241">
        <f t="shared" si="1"/>
        <v>1401.60135588589</v>
      </c>
      <c r="BN16" s="241">
        <f t="shared" si="0"/>
        <v>3625.34782643622</v>
      </c>
      <c r="BO16" s="241">
        <f t="shared" si="0"/>
        <v>7523.28120619795</v>
      </c>
      <c r="BP16" s="241">
        <f t="shared" si="0"/>
        <v>3756.37576389828</v>
      </c>
      <c r="BQ16" s="241">
        <f t="shared" si="0"/>
        <v>8164.15088994504</v>
      </c>
      <c r="BR16" s="179" t="s">
        <v>98</v>
      </c>
      <c r="BS16" s="179" t="s">
        <v>98</v>
      </c>
    </row>
    <row r="17" spans="4:71">
      <c r="D17" s="182"/>
      <c r="E17" s="467" t="s">
        <v>55</v>
      </c>
      <c r="F17" s="183"/>
      <c r="G17" s="184"/>
      <c r="H17" s="183">
        <f>'Attached-IRENA2024 report'!J65</f>
        <v>844</v>
      </c>
      <c r="I17" s="183"/>
      <c r="J17" s="183"/>
      <c r="K17" s="183"/>
      <c r="L17" s="184"/>
      <c r="M17" s="184"/>
      <c r="N17" s="184"/>
      <c r="O17" s="183"/>
      <c r="P17" s="203"/>
      <c r="V17" s="212"/>
      <c r="W17" s="213"/>
      <c r="X17" s="212" t="s">
        <v>40</v>
      </c>
      <c r="Y17" s="212"/>
      <c r="Z17" s="212"/>
      <c r="AA17" s="212"/>
      <c r="AB17" s="212"/>
      <c r="AC17" s="213"/>
      <c r="AD17" s="212" t="s">
        <v>41</v>
      </c>
      <c r="AE17" s="212"/>
      <c r="AF17" s="212"/>
      <c r="AG17" s="212"/>
      <c r="AH17" s="212"/>
      <c r="BD17" s="178" t="s">
        <v>119</v>
      </c>
      <c r="BE17" s="179">
        <v>0.553999999999998</v>
      </c>
      <c r="BF17" s="179">
        <v>2.21316779361832</v>
      </c>
      <c r="BG17" s="179">
        <v>6.16881999999998</v>
      </c>
      <c r="BH17" s="179">
        <v>2.56255400329034</v>
      </c>
      <c r="BI17" s="179">
        <v>10.2796569936452</v>
      </c>
      <c r="BK17" s="178" t="s">
        <v>98</v>
      </c>
      <c r="BM17" s="241">
        <f t="shared" si="1"/>
        <v>11.357</v>
      </c>
      <c r="BN17" s="241">
        <f t="shared" si="0"/>
        <v>45.3699397691755</v>
      </c>
      <c r="BO17" s="241">
        <f t="shared" si="0"/>
        <v>141.0016</v>
      </c>
      <c r="BP17" s="241">
        <f t="shared" si="0"/>
        <v>52.5323570674515</v>
      </c>
      <c r="BQ17" s="241">
        <f t="shared" si="0"/>
        <v>210.732968369734</v>
      </c>
      <c r="BR17" s="179" t="s">
        <v>98</v>
      </c>
      <c r="BS17" s="179" t="s">
        <v>98</v>
      </c>
    </row>
    <row r="18" spans="4:71">
      <c r="D18" s="182"/>
      <c r="E18" s="467" t="s">
        <v>56</v>
      </c>
      <c r="F18" s="183"/>
      <c r="G18" s="184"/>
      <c r="H18" s="183">
        <f>'Attached-IRENA2024 report'!J67</f>
        <v>743</v>
      </c>
      <c r="I18" s="183"/>
      <c r="J18" s="183"/>
      <c r="K18" s="183"/>
      <c r="L18" s="184"/>
      <c r="M18" s="184"/>
      <c r="N18" s="184"/>
      <c r="O18" s="183"/>
      <c r="P18" s="203"/>
      <c r="V18" s="214">
        <v>2023</v>
      </c>
      <c r="W18" s="215"/>
      <c r="X18" s="214">
        <v>2030</v>
      </c>
      <c r="Y18" s="214">
        <v>2035</v>
      </c>
      <c r="Z18" s="214">
        <v>2040</v>
      </c>
      <c r="AA18" s="214">
        <v>2045</v>
      </c>
      <c r="AB18" s="214">
        <v>2050</v>
      </c>
      <c r="AC18" s="215"/>
      <c r="AD18" s="214">
        <v>2030</v>
      </c>
      <c r="AE18" s="214">
        <v>2035</v>
      </c>
      <c r="AF18" s="214">
        <v>2040</v>
      </c>
      <c r="AG18" s="214">
        <v>2045</v>
      </c>
      <c r="AH18" s="214">
        <v>2050</v>
      </c>
      <c r="BD18" s="178" t="s">
        <v>121</v>
      </c>
      <c r="BE18" s="179">
        <v>0.937200000000001</v>
      </c>
      <c r="BF18" s="179">
        <v>2.70680263516934</v>
      </c>
      <c r="BG18" s="179">
        <v>6.31046999999998</v>
      </c>
      <c r="BH18" s="179">
        <v>4.55059287403654</v>
      </c>
      <c r="BI18" s="179">
        <v>14.2722288530794</v>
      </c>
      <c r="BK18" s="178" t="s">
        <v>98</v>
      </c>
      <c r="BM18" s="241">
        <f t="shared" si="1"/>
        <v>28.8828</v>
      </c>
      <c r="BN18" s="241">
        <f t="shared" si="0"/>
        <v>83.4187357565812</v>
      </c>
      <c r="BO18" s="241">
        <f t="shared" si="0"/>
        <v>224.18775</v>
      </c>
      <c r="BP18" s="241">
        <f t="shared" si="0"/>
        <v>140.24099857258</v>
      </c>
      <c r="BQ18" s="241">
        <f t="shared" si="0"/>
        <v>439.844143744896</v>
      </c>
      <c r="BR18" s="179" t="s">
        <v>98</v>
      </c>
      <c r="BS18" s="179" t="s">
        <v>98</v>
      </c>
    </row>
    <row r="19" spans="4:71">
      <c r="D19" s="182"/>
      <c r="E19" s="467" t="s">
        <v>57</v>
      </c>
      <c r="F19" s="183"/>
      <c r="G19" s="184"/>
      <c r="H19" s="183">
        <f>'Attached-IRENA2024 report'!J68</f>
        <v>716</v>
      </c>
      <c r="I19" s="183"/>
      <c r="J19" s="183"/>
      <c r="K19" s="183"/>
      <c r="L19" s="184"/>
      <c r="M19" s="184"/>
      <c r="N19" s="184"/>
      <c r="O19" s="183"/>
      <c r="P19" s="203"/>
      <c r="V19" s="216">
        <v>318.09</v>
      </c>
      <c r="W19" s="216"/>
      <c r="X19" s="216">
        <v>795.05</v>
      </c>
      <c r="Y19" s="216">
        <v>1069.78</v>
      </c>
      <c r="Z19" s="216">
        <v>1216.75</v>
      </c>
      <c r="AA19" s="216">
        <v>1302.64</v>
      </c>
      <c r="AB19" s="216">
        <v>1343.31</v>
      </c>
      <c r="AC19" s="231"/>
      <c r="AD19" s="216">
        <v>918.14</v>
      </c>
      <c r="AE19" s="216">
        <v>1214.27</v>
      </c>
      <c r="AF19" s="216">
        <v>1349.99</v>
      </c>
      <c r="AG19" s="216">
        <v>1431.75</v>
      </c>
      <c r="AH19" s="216">
        <v>1473.41</v>
      </c>
      <c r="BD19" s="178" t="s">
        <v>87</v>
      </c>
      <c r="BE19" s="179">
        <v>115.271036494293</v>
      </c>
      <c r="BF19" s="179">
        <v>276.125179719859</v>
      </c>
      <c r="BG19" s="179">
        <v>557.2624100393</v>
      </c>
      <c r="BH19" s="179">
        <v>298.338138722927</v>
      </c>
      <c r="BI19" s="179">
        <v>637.609270138008</v>
      </c>
      <c r="BJ19" s="178">
        <v>303.10102712703</v>
      </c>
      <c r="BK19" s="178">
        <v>670.823798432762</v>
      </c>
      <c r="BM19" s="241">
        <f t="shared" si="1"/>
        <v>1925.1987928323</v>
      </c>
      <c r="BN19" s="241">
        <f t="shared" si="0"/>
        <v>4611.70367539459</v>
      </c>
      <c r="BO19" s="241">
        <f t="shared" si="0"/>
        <v>9307.11609547815</v>
      </c>
      <c r="BP19" s="241">
        <f t="shared" si="0"/>
        <v>4982.6933286373</v>
      </c>
      <c r="BQ19" s="241">
        <f t="shared" si="0"/>
        <v>10649.0288844514</v>
      </c>
      <c r="BR19" s="241">
        <f t="shared" si="0"/>
        <v>5062.24069183312</v>
      </c>
      <c r="BS19" s="241">
        <f t="shared" si="0"/>
        <v>11203.7612068309</v>
      </c>
    </row>
    <row r="20" spans="4:71">
      <c r="D20" s="182"/>
      <c r="E20" s="467" t="s">
        <v>58</v>
      </c>
      <c r="F20" s="183"/>
      <c r="G20" s="184"/>
      <c r="H20" s="183">
        <f>'Attached-IRENA2024 report'!J69</f>
        <v>705</v>
      </c>
      <c r="I20" s="183"/>
      <c r="J20" s="183"/>
      <c r="K20" s="183"/>
      <c r="L20" s="184"/>
      <c r="M20" s="184"/>
      <c r="N20" s="184"/>
      <c r="O20" s="183"/>
      <c r="P20" s="203"/>
      <c r="BD20" s="178" t="s">
        <v>124</v>
      </c>
      <c r="BE20" s="178"/>
      <c r="BF20" s="178"/>
      <c r="BG20" s="178"/>
      <c r="BH20" s="178"/>
      <c r="BI20" s="178"/>
      <c r="BM20" s="241"/>
      <c r="BN20" s="241"/>
      <c r="BO20" s="241"/>
      <c r="BP20" s="242"/>
      <c r="BQ20" s="241"/>
      <c r="BR20" s="241"/>
      <c r="BS20" s="241"/>
    </row>
    <row r="21" spans="4:71">
      <c r="D21" s="182"/>
      <c r="E21" s="468" t="s">
        <v>59</v>
      </c>
      <c r="F21" s="183"/>
      <c r="G21" s="184"/>
      <c r="H21" s="183">
        <f>'Attached-IRENA2024 report'!J70</f>
        <v>700</v>
      </c>
      <c r="I21" s="183"/>
      <c r="J21" s="183"/>
      <c r="K21" s="183"/>
      <c r="L21" s="184"/>
      <c r="M21" s="184"/>
      <c r="N21" s="184"/>
      <c r="O21" s="183"/>
      <c r="P21" s="203"/>
      <c r="BD21" s="178" t="s">
        <v>113</v>
      </c>
      <c r="BE21" s="179">
        <v>23.2319776375987</v>
      </c>
      <c r="BF21" s="179">
        <v>43.2367765868146</v>
      </c>
      <c r="BG21" s="179">
        <v>61.7029249582936</v>
      </c>
      <c r="BH21" s="179">
        <v>47.6697212205995</v>
      </c>
      <c r="BI21" s="179">
        <v>65.6944305175271</v>
      </c>
      <c r="BK21" s="178" t="s">
        <v>98</v>
      </c>
      <c r="BM21" s="241">
        <f>BE3+BE21</f>
        <v>324.503349239477</v>
      </c>
      <c r="BN21" s="241">
        <f t="shared" ref="BN21:BS28" si="2">BF3+BF21</f>
        <v>603.929593580248</v>
      </c>
      <c r="BO21" s="241">
        <f t="shared" si="2"/>
        <v>861.864027211914</v>
      </c>
      <c r="BP21" s="241">
        <f t="shared" si="2"/>
        <v>665.848789745801</v>
      </c>
      <c r="BQ21" s="241">
        <f t="shared" si="2"/>
        <v>917.61721975904</v>
      </c>
      <c r="BR21" s="179" t="s">
        <v>98</v>
      </c>
      <c r="BS21" s="179" t="s">
        <v>98</v>
      </c>
    </row>
    <row r="22" spans="4:71">
      <c r="D22" s="182"/>
      <c r="E22" s="183" t="s">
        <v>60</v>
      </c>
      <c r="F22" s="183"/>
      <c r="G22" s="184"/>
      <c r="H22" s="183">
        <f>'Attached-IRENA2024 report'!J71</f>
        <v>686</v>
      </c>
      <c r="I22" s="183"/>
      <c r="J22" s="183"/>
      <c r="K22" s="183"/>
      <c r="L22" s="184"/>
      <c r="M22" s="184"/>
      <c r="N22" s="184"/>
      <c r="O22" s="183"/>
      <c r="P22" s="203"/>
      <c r="V22" t="s">
        <v>76</v>
      </c>
      <c r="BD22" s="178" t="s">
        <v>114</v>
      </c>
      <c r="BE22" s="179">
        <v>-5.4393982528541</v>
      </c>
      <c r="BF22" s="179">
        <v>-9.67450729314541</v>
      </c>
      <c r="BG22" s="179">
        <v>-16.199188891284</v>
      </c>
      <c r="BH22" s="179">
        <v>-12.962457162034</v>
      </c>
      <c r="BI22" s="179">
        <v>-27.2403611073804</v>
      </c>
      <c r="BK22" s="178" t="s">
        <v>98</v>
      </c>
      <c r="BM22" s="241">
        <f t="shared" ref="BM22:BM28" si="3">BE4+BE22</f>
        <v>46.798196505708</v>
      </c>
      <c r="BN22" s="241">
        <f t="shared" si="2"/>
        <v>83.2352169034462</v>
      </c>
      <c r="BO22" s="241">
        <f t="shared" si="2"/>
        <v>139.370715238515</v>
      </c>
      <c r="BP22" s="241">
        <f t="shared" si="2"/>
        <v>111.52329527395</v>
      </c>
      <c r="BQ22" s="241">
        <f t="shared" si="2"/>
        <v>234.364117633924</v>
      </c>
      <c r="BR22" s="179" t="s">
        <v>98</v>
      </c>
      <c r="BS22" s="179" t="s">
        <v>98</v>
      </c>
    </row>
    <row r="23" spans="4:71">
      <c r="D23" s="182"/>
      <c r="E23" s="467" t="s">
        <v>61</v>
      </c>
      <c r="F23" s="183"/>
      <c r="G23" s="184"/>
      <c r="H23" s="183">
        <f>'Attached-IRENA2024 report'!J72</f>
        <v>684</v>
      </c>
      <c r="I23" s="183"/>
      <c r="J23" s="183"/>
      <c r="K23" s="183"/>
      <c r="L23" s="184"/>
      <c r="M23" s="184"/>
      <c r="N23" s="184"/>
      <c r="O23" s="183"/>
      <c r="P23" s="203"/>
      <c r="V23" s="212"/>
      <c r="W23" s="213"/>
      <c r="X23" s="212" t="s">
        <v>40</v>
      </c>
      <c r="Y23" s="212"/>
      <c r="Z23" s="212"/>
      <c r="AA23" s="212"/>
      <c r="AB23" s="212"/>
      <c r="AC23" s="213"/>
      <c r="AD23" s="212" t="s">
        <v>41</v>
      </c>
      <c r="AE23" s="212"/>
      <c r="AF23" s="212"/>
      <c r="AG23" s="212"/>
      <c r="AH23" s="212"/>
      <c r="BD23" s="178" t="s">
        <v>116</v>
      </c>
      <c r="BE23" s="179">
        <v>40.107976917426</v>
      </c>
      <c r="BF23" s="179">
        <v>88.7779716080597</v>
      </c>
      <c r="BG23" s="179">
        <v>198.793836348682</v>
      </c>
      <c r="BH23" s="179">
        <v>104.088814926066</v>
      </c>
      <c r="BI23" s="179">
        <v>221.33023136693</v>
      </c>
      <c r="BK23" s="178" t="s">
        <v>98</v>
      </c>
      <c r="BM23" s="241">
        <f t="shared" si="3"/>
        <v>341.754537463468</v>
      </c>
      <c r="BN23" s="241">
        <f t="shared" si="2"/>
        <v>756.464847038313</v>
      </c>
      <c r="BO23" s="241">
        <f t="shared" si="2"/>
        <v>1693.89485118641</v>
      </c>
      <c r="BP23" s="241">
        <f t="shared" si="2"/>
        <v>886.926430455857</v>
      </c>
      <c r="BQ23" s="241">
        <f t="shared" si="2"/>
        <v>1885.92436370488</v>
      </c>
      <c r="BR23" s="179" t="s">
        <v>98</v>
      </c>
      <c r="BS23" s="179" t="s">
        <v>98</v>
      </c>
    </row>
    <row r="24" spans="4:71">
      <c r="D24" s="182"/>
      <c r="E24" s="183" t="s">
        <v>62</v>
      </c>
      <c r="F24" s="183"/>
      <c r="G24" s="184"/>
      <c r="H24" s="183">
        <f>'Attached-IRENA2024 report'!J73</f>
        <v>678</v>
      </c>
      <c r="I24" s="204">
        <f>'Attached-IEA2020Projected Costs'!K6</f>
        <v>729.55348213275</v>
      </c>
      <c r="J24" s="204">
        <f>'Attached-IEA2020Projected Costs'!L6</f>
        <v>743.584641810447</v>
      </c>
      <c r="K24" s="204">
        <f>'Attached-IEA2020Projected Costs'!M6</f>
        <v>753.936666252302</v>
      </c>
      <c r="L24" s="205">
        <f>'Attached-IEA2020Projected Costs'!K6</f>
        <v>729.55348213275</v>
      </c>
      <c r="M24" s="205">
        <f>'Attached-IEA2020Projected Costs'!L6</f>
        <v>743.584641810447</v>
      </c>
      <c r="N24" s="205">
        <f>'Attached-IEA2020Projected Costs'!M6</f>
        <v>753.936666252302</v>
      </c>
      <c r="O24" s="183"/>
      <c r="P24" s="203"/>
      <c r="V24" s="214">
        <v>2023</v>
      </c>
      <c r="W24" s="215"/>
      <c r="X24" s="214">
        <v>2030</v>
      </c>
      <c r="Y24" s="214">
        <v>2035</v>
      </c>
      <c r="Z24" s="214">
        <v>2040</v>
      </c>
      <c r="AA24" s="214">
        <v>2045</v>
      </c>
      <c r="AB24" s="214">
        <v>2050</v>
      </c>
      <c r="AC24" s="215"/>
      <c r="AD24" s="214">
        <v>2030</v>
      </c>
      <c r="AE24" s="214">
        <v>2035</v>
      </c>
      <c r="AF24" s="214">
        <v>2040</v>
      </c>
      <c r="AG24" s="214">
        <v>2045</v>
      </c>
      <c r="AH24" s="214">
        <v>2050</v>
      </c>
      <c r="BD24" s="178" t="s">
        <v>76</v>
      </c>
      <c r="BE24" s="179">
        <v>0.903719367749913</v>
      </c>
      <c r="BF24" s="179">
        <v>2.17896976404921</v>
      </c>
      <c r="BG24" s="179">
        <v>3.41665194865032</v>
      </c>
      <c r="BH24" s="179">
        <v>2.54748310141722</v>
      </c>
      <c r="BI24" s="179">
        <v>6.18633359728327</v>
      </c>
      <c r="BK24" s="178" t="s">
        <v>98</v>
      </c>
      <c r="BM24" s="241">
        <f t="shared" si="3"/>
        <v>8.57956126450018</v>
      </c>
      <c r="BN24" s="241">
        <f t="shared" si="2"/>
        <v>20.6862940546468</v>
      </c>
      <c r="BO24" s="241">
        <f t="shared" si="2"/>
        <v>32.4363688098265</v>
      </c>
      <c r="BP24" s="241">
        <f t="shared" si="2"/>
        <v>24.1848167903119</v>
      </c>
      <c r="BQ24" s="241">
        <f t="shared" si="2"/>
        <v>58.7306524509677</v>
      </c>
      <c r="BR24" s="179" t="s">
        <v>98</v>
      </c>
      <c r="BS24" s="179" t="s">
        <v>98</v>
      </c>
    </row>
    <row r="25" spans="4:71">
      <c r="D25" s="182"/>
      <c r="E25" s="467" t="s">
        <v>63</v>
      </c>
      <c r="F25" s="183"/>
      <c r="G25" s="184"/>
      <c r="H25" s="183">
        <f>'Attached-IRENA2024 report'!J74</f>
        <v>663</v>
      </c>
      <c r="I25" s="183"/>
      <c r="J25" s="183"/>
      <c r="K25" s="183"/>
      <c r="L25" s="184"/>
      <c r="M25" s="184"/>
      <c r="N25" s="184"/>
      <c r="O25" s="183"/>
      <c r="P25" s="203"/>
      <c r="V25" s="216">
        <v>4.7</v>
      </c>
      <c r="W25" s="216"/>
      <c r="X25" s="216">
        <v>17.21</v>
      </c>
      <c r="Y25" s="216">
        <v>22.8</v>
      </c>
      <c r="Z25" s="216">
        <v>27.15</v>
      </c>
      <c r="AA25" s="216">
        <v>30.57</v>
      </c>
      <c r="AB25" s="216">
        <v>33.41</v>
      </c>
      <c r="AC25" s="231"/>
      <c r="AD25" s="216">
        <v>21.67</v>
      </c>
      <c r="AE25" s="216">
        <v>36.9</v>
      </c>
      <c r="AF25" s="216">
        <v>51.96</v>
      </c>
      <c r="AG25" s="216">
        <v>65.8</v>
      </c>
      <c r="AH25" s="216">
        <v>80.19</v>
      </c>
      <c r="BD25" s="178" t="s">
        <v>118</v>
      </c>
      <c r="BE25" s="179">
        <v>85.2050494419473</v>
      </c>
      <c r="BF25" s="179">
        <v>220.389299352915</v>
      </c>
      <c r="BG25" s="179">
        <v>457.34940569792</v>
      </c>
      <c r="BH25" s="179">
        <v>228.354646876885</v>
      </c>
      <c r="BI25" s="179">
        <v>496.308652462474</v>
      </c>
      <c r="BK25" s="178" t="s">
        <v>98</v>
      </c>
      <c r="BM25" s="241">
        <f t="shared" si="3"/>
        <v>1444.20388060687</v>
      </c>
      <c r="BN25" s="241">
        <f t="shared" si="2"/>
        <v>3735.54247611267</v>
      </c>
      <c r="BO25" s="241">
        <f t="shared" si="2"/>
        <v>7751.95590904691</v>
      </c>
      <c r="BP25" s="241">
        <f t="shared" si="2"/>
        <v>3870.55308733673</v>
      </c>
      <c r="BQ25" s="241">
        <f t="shared" si="2"/>
        <v>8412.30521617627</v>
      </c>
      <c r="BR25" s="179" t="s">
        <v>98</v>
      </c>
      <c r="BS25" s="179" t="s">
        <v>98</v>
      </c>
    </row>
    <row r="26" spans="4:71">
      <c r="D26" s="182"/>
      <c r="E26" s="467" t="s">
        <v>64</v>
      </c>
      <c r="F26" s="183"/>
      <c r="G26" s="184"/>
      <c r="H26" s="183">
        <f>'Attached-IRENA2024 report'!J75</f>
        <v>659</v>
      </c>
      <c r="I26" s="183"/>
      <c r="J26" s="183"/>
      <c r="K26" s="183"/>
      <c r="L26" s="184"/>
      <c r="M26" s="184"/>
      <c r="N26" s="184"/>
      <c r="O26" s="183"/>
      <c r="P26" s="203"/>
      <c r="BD26" s="178" t="s">
        <v>119</v>
      </c>
      <c r="BE26" s="179">
        <v>1.108</v>
      </c>
      <c r="BF26" s="179">
        <v>4.42633558723664</v>
      </c>
      <c r="BG26" s="179">
        <v>12.33764</v>
      </c>
      <c r="BH26" s="179">
        <v>5.12510800658069</v>
      </c>
      <c r="BI26" s="179">
        <v>20.5593139872904</v>
      </c>
      <c r="BK26" s="178" t="s">
        <v>98</v>
      </c>
      <c r="BM26" s="241">
        <f t="shared" si="3"/>
        <v>11.911</v>
      </c>
      <c r="BN26" s="241">
        <f t="shared" si="2"/>
        <v>47.5831075627938</v>
      </c>
      <c r="BO26" s="241">
        <f t="shared" si="2"/>
        <v>147.17042</v>
      </c>
      <c r="BP26" s="241">
        <f t="shared" si="2"/>
        <v>55.0949110707419</v>
      </c>
      <c r="BQ26" s="241">
        <f t="shared" si="2"/>
        <v>221.012625363379</v>
      </c>
      <c r="BR26" s="179" t="s">
        <v>98</v>
      </c>
      <c r="BS26" s="179" t="s">
        <v>98</v>
      </c>
    </row>
    <row r="27" spans="4:71">
      <c r="D27" s="182"/>
      <c r="E27" s="182" t="s">
        <v>65</v>
      </c>
      <c r="F27" s="183"/>
      <c r="G27" s="184"/>
      <c r="H27" s="183"/>
      <c r="I27" s="183">
        <f>AVERAGE('Attached-IEA2020Projected Costs'!K17:K18)</f>
        <v>587.434644685279</v>
      </c>
      <c r="J27" s="183">
        <f>AVERAGE('Attached-IEA2020Projected Costs'!L17:L18)</f>
        <v>598.732499471325</v>
      </c>
      <c r="K27" s="183">
        <f>AVERAGE('Attached-IEA2020Projected Costs'!M17:M18)</f>
        <v>607.067923739326</v>
      </c>
      <c r="L27" s="184">
        <f>AVERAGE('Attached-IEA2020Projected Costs'!K15:K16)</f>
        <v>1026.75331645407</v>
      </c>
      <c r="M27" s="184">
        <f>AVERAGE('Attached-IEA2020Projected Costs'!L15:L16)</f>
        <v>1046.50038104303</v>
      </c>
      <c r="N27" s="184">
        <f>AVERAGE('Attached-IEA2020Projected Costs'!M15:M16)</f>
        <v>1061.06953284341</v>
      </c>
      <c r="O27" s="183"/>
      <c r="P27" s="203"/>
      <c r="BD27" s="178" t="s">
        <v>121</v>
      </c>
      <c r="BE27" s="179">
        <v>1.8744</v>
      </c>
      <c r="BF27" s="179">
        <v>5.41360527033868</v>
      </c>
      <c r="BG27" s="179">
        <v>12.62094</v>
      </c>
      <c r="BH27" s="179">
        <v>9.10118574807308</v>
      </c>
      <c r="BI27" s="179">
        <v>28.5444577061587</v>
      </c>
      <c r="BK27" s="178" t="s">
        <v>98</v>
      </c>
      <c r="BM27" s="241">
        <f t="shared" si="3"/>
        <v>29.82</v>
      </c>
      <c r="BN27" s="241">
        <f t="shared" si="2"/>
        <v>86.1255383917506</v>
      </c>
      <c r="BO27" s="241">
        <f t="shared" si="2"/>
        <v>230.49822</v>
      </c>
      <c r="BP27" s="241">
        <f t="shared" si="2"/>
        <v>144.791591446616</v>
      </c>
      <c r="BQ27" s="241">
        <f t="shared" si="2"/>
        <v>454.116372597976</v>
      </c>
      <c r="BR27" s="179" t="s">
        <v>98</v>
      </c>
      <c r="BS27" s="179" t="s">
        <v>98</v>
      </c>
    </row>
    <row r="28" spans="4:71">
      <c r="D28" s="182"/>
      <c r="E28" s="182" t="s">
        <v>66</v>
      </c>
      <c r="F28" s="183"/>
      <c r="G28" s="184"/>
      <c r="H28" s="183"/>
      <c r="I28" s="183"/>
      <c r="J28" s="183"/>
      <c r="K28" s="183"/>
      <c r="L28" s="205">
        <f>'Attached-IEA2020Projected Costs'!K40</f>
        <v>998.35391971396</v>
      </c>
      <c r="M28" s="205">
        <f>'Attached-IEA2020Projected Costs'!L40</f>
        <v>1017.55479203577</v>
      </c>
      <c r="N28" s="205">
        <f>'Attached-IEA2020Projected Costs'!M40</f>
        <v>1031.72096961097</v>
      </c>
      <c r="O28" s="183"/>
      <c r="P28" s="203"/>
      <c r="V28" t="s">
        <v>118</v>
      </c>
      <c r="BD28" s="178" t="s">
        <v>87</v>
      </c>
      <c r="BE28" s="179">
        <v>230.542072988585</v>
      </c>
      <c r="BF28" s="179">
        <v>552.250359439719</v>
      </c>
      <c r="BG28" s="179">
        <v>1114.5248200786</v>
      </c>
      <c r="BH28" s="179">
        <v>596.676277445855</v>
      </c>
      <c r="BI28" s="179">
        <v>1275.21854027602</v>
      </c>
      <c r="BJ28" s="178">
        <v>606.202054254059</v>
      </c>
      <c r="BK28" s="178">
        <v>1341.64759686552</v>
      </c>
      <c r="BM28" s="241">
        <f t="shared" si="3"/>
        <v>2040.4698293266</v>
      </c>
      <c r="BN28" s="241">
        <f t="shared" si="2"/>
        <v>4887.82885511445</v>
      </c>
      <c r="BO28" s="241">
        <f t="shared" si="2"/>
        <v>9864.37850551745</v>
      </c>
      <c r="BP28" s="241">
        <f t="shared" si="2"/>
        <v>5281.03146736023</v>
      </c>
      <c r="BQ28" s="241">
        <f t="shared" si="2"/>
        <v>11286.6381545894</v>
      </c>
      <c r="BR28" s="241">
        <f t="shared" si="2"/>
        <v>5365.34171896015</v>
      </c>
      <c r="BS28" s="241">
        <f t="shared" si="2"/>
        <v>11874.5850052636</v>
      </c>
    </row>
    <row r="29" spans="4:71">
      <c r="D29" s="182"/>
      <c r="E29" s="182" t="s">
        <v>68</v>
      </c>
      <c r="F29" s="183"/>
      <c r="G29" s="184"/>
      <c r="H29" s="183"/>
      <c r="I29" s="183"/>
      <c r="J29" s="183"/>
      <c r="K29" s="183"/>
      <c r="L29" s="184"/>
      <c r="M29" s="184"/>
      <c r="N29" s="184"/>
      <c r="O29" s="183"/>
      <c r="P29" s="203"/>
      <c r="V29" s="212"/>
      <c r="W29" s="213"/>
      <c r="X29" s="212" t="s">
        <v>40</v>
      </c>
      <c r="Y29" s="212"/>
      <c r="Z29" s="212"/>
      <c r="AA29" s="212"/>
      <c r="AB29" s="212"/>
      <c r="AC29" s="213"/>
      <c r="AD29" s="212" t="s">
        <v>41</v>
      </c>
      <c r="AE29" s="212"/>
      <c r="AF29" s="212"/>
      <c r="AG29" s="212"/>
      <c r="AH29" s="212"/>
      <c r="BD29" s="178" t="s">
        <v>125</v>
      </c>
      <c r="BE29" s="178"/>
      <c r="BF29" s="178"/>
      <c r="BG29" s="178"/>
      <c r="BH29" s="178"/>
      <c r="BI29" s="178"/>
      <c r="BM29" s="241"/>
      <c r="BN29" s="241"/>
      <c r="BO29" s="241"/>
      <c r="BP29" s="242"/>
      <c r="BQ29" s="241"/>
      <c r="BR29" s="241"/>
      <c r="BS29" s="241"/>
    </row>
    <row r="30" spans="4:71">
      <c r="D30" s="182" t="s">
        <v>69</v>
      </c>
      <c r="E30" s="182" t="s">
        <v>70</v>
      </c>
      <c r="F30" s="183"/>
      <c r="G30" s="184"/>
      <c r="H30" s="188">
        <f>'Attached-IRENA2024 report'!J50</f>
        <v>953.806790727526</v>
      </c>
      <c r="I30" s="183"/>
      <c r="J30" s="183"/>
      <c r="K30" s="183"/>
      <c r="L30" s="184"/>
      <c r="M30" s="184"/>
      <c r="N30" s="184"/>
      <c r="O30" s="183"/>
      <c r="P30" s="203"/>
      <c r="V30" s="214">
        <v>2023</v>
      </c>
      <c r="W30" s="215"/>
      <c r="X30" s="214">
        <v>2030</v>
      </c>
      <c r="Y30" s="214">
        <v>2035</v>
      </c>
      <c r="Z30" s="214">
        <v>2040</v>
      </c>
      <c r="AA30" s="214">
        <v>2045</v>
      </c>
      <c r="AB30" s="214">
        <v>2050</v>
      </c>
      <c r="AC30" s="215"/>
      <c r="AD30" s="214">
        <v>2030</v>
      </c>
      <c r="AE30" s="214">
        <v>2035</v>
      </c>
      <c r="AF30" s="214">
        <v>2040</v>
      </c>
      <c r="AG30" s="214">
        <v>2045</v>
      </c>
      <c r="AH30" s="214">
        <v>2050</v>
      </c>
      <c r="BD30" s="178" t="s">
        <v>113</v>
      </c>
      <c r="BE30" s="179">
        <v>34.847966456398</v>
      </c>
      <c r="BF30" s="179">
        <v>64.8551648802219</v>
      </c>
      <c r="BG30" s="179">
        <v>92.5543874374404</v>
      </c>
      <c r="BH30" s="179">
        <v>71.5045818308993</v>
      </c>
      <c r="BI30" s="179">
        <v>98.5416457762906</v>
      </c>
      <c r="BK30" s="178" t="s">
        <v>98</v>
      </c>
      <c r="BM30" s="241">
        <f>BE3+BE30</f>
        <v>336.119338058276</v>
      </c>
      <c r="BN30" s="241">
        <f t="shared" ref="BN30:BS37" si="4">BF3+BF30</f>
        <v>625.547981873655</v>
      </c>
      <c r="BO30" s="241">
        <f t="shared" si="4"/>
        <v>892.71548969106</v>
      </c>
      <c r="BP30" s="241">
        <f t="shared" si="4"/>
        <v>689.6836503561</v>
      </c>
      <c r="BQ30" s="241">
        <f t="shared" si="4"/>
        <v>950.464435017804</v>
      </c>
      <c r="BR30" s="179" t="s">
        <v>98</v>
      </c>
      <c r="BS30" s="179" t="s">
        <v>98</v>
      </c>
    </row>
    <row r="31" spans="4:71">
      <c r="D31" s="182"/>
      <c r="E31" s="468" t="s">
        <v>71</v>
      </c>
      <c r="F31" s="183"/>
      <c r="G31" s="184"/>
      <c r="H31" s="183">
        <f>'Attached-IRENA2024 report'!J53</f>
        <v>830</v>
      </c>
      <c r="I31" s="183"/>
      <c r="J31" s="183"/>
      <c r="K31" s="183"/>
      <c r="L31" s="184"/>
      <c r="M31" s="184"/>
      <c r="N31" s="184"/>
      <c r="O31" s="183"/>
      <c r="P31" s="203"/>
      <c r="V31" s="216">
        <v>1005.71</v>
      </c>
      <c r="W31" s="216"/>
      <c r="X31" s="216">
        <v>4084.58</v>
      </c>
      <c r="Y31" s="216">
        <v>6629.81</v>
      </c>
      <c r="Z31" s="216">
        <v>9040.8</v>
      </c>
      <c r="AA31" s="216">
        <v>11049.3</v>
      </c>
      <c r="AB31" s="216">
        <v>11987.66</v>
      </c>
      <c r="AC31" s="231"/>
      <c r="AD31" s="216">
        <v>4304.15</v>
      </c>
      <c r="AE31" s="216">
        <v>7182.92</v>
      </c>
      <c r="AF31" s="216">
        <v>10076.95</v>
      </c>
      <c r="AG31" s="216">
        <v>12366.68</v>
      </c>
      <c r="AH31" s="216">
        <v>13523.66</v>
      </c>
      <c r="BD31" s="178" t="s">
        <v>114</v>
      </c>
      <c r="BE31" s="179">
        <v>-8.15909737928116</v>
      </c>
      <c r="BF31" s="179">
        <v>-14.5117609397181</v>
      </c>
      <c r="BG31" s="179">
        <v>-24.298783336926</v>
      </c>
      <c r="BH31" s="179">
        <v>-19.443685743051</v>
      </c>
      <c r="BI31" s="179">
        <v>-40.8605416610706</v>
      </c>
      <c r="BK31" s="178" t="s">
        <v>98</v>
      </c>
      <c r="BM31" s="241">
        <f t="shared" ref="BM31:BM37" si="5">BE4+BE31</f>
        <v>44.0784973792809</v>
      </c>
      <c r="BN31" s="241">
        <f t="shared" si="4"/>
        <v>78.3979632568735</v>
      </c>
      <c r="BO31" s="241">
        <f t="shared" si="4"/>
        <v>131.271120792873</v>
      </c>
      <c r="BP31" s="241">
        <f t="shared" si="4"/>
        <v>105.042066692933</v>
      </c>
      <c r="BQ31" s="241">
        <f t="shared" si="4"/>
        <v>220.743937080233</v>
      </c>
      <c r="BR31" s="179" t="s">
        <v>98</v>
      </c>
      <c r="BS31" s="179" t="s">
        <v>98</v>
      </c>
    </row>
    <row r="32" spans="4:71">
      <c r="D32" s="182"/>
      <c r="E32" s="182" t="s">
        <v>14</v>
      </c>
      <c r="F32" s="185">
        <f>Attached_WEO2023!B18</f>
        <v>730</v>
      </c>
      <c r="G32" s="186">
        <f>Attached_WEO2023!F18</f>
        <v>560</v>
      </c>
      <c r="H32" s="188">
        <f>'Attached-IRENA2024 report'!J48</f>
        <v>726.985591214851</v>
      </c>
      <c r="I32" s="204">
        <f>'Attached-IEA2020Projected Costs'!K60</f>
        <v>1215.20326226019</v>
      </c>
      <c r="J32" s="204">
        <f>'Attached-IEA2020Projected Costs'!L60</f>
        <v>1238.57469620056</v>
      </c>
      <c r="K32" s="204">
        <f>'Attached-IEA2020Projected Costs'!M60</f>
        <v>1255.81786504401</v>
      </c>
      <c r="L32" s="184"/>
      <c r="M32" s="184"/>
      <c r="N32" s="184"/>
      <c r="O32" s="183">
        <f>'Attached-DIB_GNESTE_Solar_Power'!V134</f>
        <v>1382.1652</v>
      </c>
      <c r="P32" s="203"/>
      <c r="BD32" s="178" t="s">
        <v>116</v>
      </c>
      <c r="BE32" s="179">
        <v>60.1619653761389</v>
      </c>
      <c r="BF32" s="179">
        <v>133.16695741209</v>
      </c>
      <c r="BG32" s="179">
        <v>298.190754523024</v>
      </c>
      <c r="BH32" s="179">
        <v>156.133222389098</v>
      </c>
      <c r="BI32" s="179">
        <v>331.995347050395</v>
      </c>
      <c r="BK32" s="178" t="s">
        <v>98</v>
      </c>
      <c r="BM32" s="241">
        <f t="shared" si="5"/>
        <v>361.808525922181</v>
      </c>
      <c r="BN32" s="241">
        <f t="shared" si="4"/>
        <v>800.853832842343</v>
      </c>
      <c r="BO32" s="241">
        <f t="shared" si="4"/>
        <v>1793.29176936075</v>
      </c>
      <c r="BP32" s="241">
        <f t="shared" si="4"/>
        <v>938.970837918889</v>
      </c>
      <c r="BQ32" s="241">
        <f t="shared" si="4"/>
        <v>1996.58947938834</v>
      </c>
      <c r="BR32" s="179" t="s">
        <v>98</v>
      </c>
      <c r="BS32" s="179" t="s">
        <v>98</v>
      </c>
    </row>
    <row r="33" spans="4:71">
      <c r="D33" s="182"/>
      <c r="E33" s="182" t="s">
        <v>69</v>
      </c>
      <c r="F33" s="183"/>
      <c r="G33" s="184"/>
      <c r="H33" s="183"/>
      <c r="I33" s="183"/>
      <c r="J33" s="183"/>
      <c r="K33" s="183"/>
      <c r="L33" s="184"/>
      <c r="M33" s="184"/>
      <c r="N33" s="184"/>
      <c r="O33" s="183">
        <f>'Attached-DIB_GNESTE_Solar_Power'!AA338</f>
        <v>819.859340854</v>
      </c>
      <c r="P33" s="203"/>
      <c r="BD33" s="178" t="s">
        <v>76</v>
      </c>
      <c r="BE33" s="179">
        <v>1.35557905162487</v>
      </c>
      <c r="BF33" s="179">
        <v>3.26845464607382</v>
      </c>
      <c r="BG33" s="179">
        <v>5.12497792297548</v>
      </c>
      <c r="BH33" s="179">
        <v>3.82122465212583</v>
      </c>
      <c r="BI33" s="179">
        <v>9.2795003959249</v>
      </c>
      <c r="BK33" s="178" t="s">
        <v>98</v>
      </c>
      <c r="BM33" s="241">
        <f t="shared" si="5"/>
        <v>9.03142094837514</v>
      </c>
      <c r="BN33" s="241">
        <f t="shared" si="4"/>
        <v>21.7757789366714</v>
      </c>
      <c r="BO33" s="241">
        <f t="shared" si="4"/>
        <v>34.1446947841517</v>
      </c>
      <c r="BP33" s="241">
        <f t="shared" si="4"/>
        <v>25.4585583410205</v>
      </c>
      <c r="BQ33" s="241">
        <f t="shared" si="4"/>
        <v>61.8238192496093</v>
      </c>
      <c r="BR33" s="179" t="s">
        <v>98</v>
      </c>
      <c r="BS33" s="179" t="s">
        <v>98</v>
      </c>
    </row>
    <row r="34" spans="4:71">
      <c r="D34" s="182" t="s">
        <v>72</v>
      </c>
      <c r="E34" s="193" t="s">
        <v>7</v>
      </c>
      <c r="F34" s="185">
        <f>Attached_WEO2023!B13</f>
        <v>1110</v>
      </c>
      <c r="G34" s="186">
        <f>Attached_WEO2023!F13</f>
        <v>3460</v>
      </c>
      <c r="H34" s="188">
        <f>'Attached-IRENA2024 report'!J42</f>
        <v>1108.53043557463</v>
      </c>
      <c r="I34" s="183">
        <f>AVERAGE('Attached-IEA2020Projected Costs'!K51:K55)</f>
        <v>1087.63698238114</v>
      </c>
      <c r="J34" s="183">
        <f>AVERAGE('Attached-IEA2020Projected Costs'!L51:L55)</f>
        <v>1108.55499393877</v>
      </c>
      <c r="K34" s="183">
        <f>AVERAGE('Attached-IEA2020Projected Costs'!M51:M55)</f>
        <v>1123.98805662878</v>
      </c>
      <c r="L34" s="184">
        <f>AVERAGE('Attached-IEA2020Projected Costs'!K41:K50)</f>
        <v>1789.23173252988</v>
      </c>
      <c r="M34" s="184">
        <f>AVERAGE('Attached-IEA2020Projected Costs'!L41:L50)</f>
        <v>1823.64318659647</v>
      </c>
      <c r="N34" s="184">
        <f>AVERAGE('Attached-IEA2020Projected Costs'!M41:M50)</f>
        <v>1849.031552331</v>
      </c>
      <c r="O34" s="183">
        <f>AVERAGE('Attached-DIB_GNESTE_Solar_Power'!V15,'Attached-DIB_GNESTE_Solar_Power'!Z17:Z310,'Attached-DIB_GNESTE_Solar_Power'!AB313:AB315,'Attached-DIB_GNESTE_Solar_Power'!Z319,'Attached-DIB_GNESTE_Solar_Power'!X325,'Attached-DIB_GNESTE_Solar_Power'!Y326,'Attached-DIB_GNESTE_Solar_Power'!X331,'Attached-DIB_GNESTE_Solar_Power'!Y332)</f>
        <v>1349.03034357143</v>
      </c>
      <c r="P34" s="203"/>
      <c r="BD34" s="178" t="s">
        <v>118</v>
      </c>
      <c r="BE34" s="179">
        <v>127.807574162921</v>
      </c>
      <c r="BF34" s="179">
        <v>330.583949029373</v>
      </c>
      <c r="BG34" s="179">
        <v>686.02410854688</v>
      </c>
      <c r="BH34" s="179">
        <v>342.531970315328</v>
      </c>
      <c r="BI34" s="179">
        <v>744.462978693711</v>
      </c>
      <c r="BK34" s="178" t="s">
        <v>98</v>
      </c>
      <c r="BM34" s="241">
        <f t="shared" si="5"/>
        <v>1486.80640532784</v>
      </c>
      <c r="BN34" s="241">
        <f t="shared" si="4"/>
        <v>3845.73712578913</v>
      </c>
      <c r="BO34" s="241">
        <f t="shared" si="4"/>
        <v>7980.63061189587</v>
      </c>
      <c r="BP34" s="241">
        <f t="shared" si="4"/>
        <v>3984.73041077517</v>
      </c>
      <c r="BQ34" s="241">
        <f t="shared" si="4"/>
        <v>8660.45954240751</v>
      </c>
      <c r="BR34" s="179" t="s">
        <v>98</v>
      </c>
      <c r="BS34" s="179" t="s">
        <v>98</v>
      </c>
    </row>
    <row r="35" spans="4:71">
      <c r="D35" s="182"/>
      <c r="E35" s="182" t="s">
        <v>73</v>
      </c>
      <c r="F35" s="183"/>
      <c r="G35" s="184"/>
      <c r="H35" s="188">
        <f>'Attached-IRENA2024 report'!J38</f>
        <v>1336.5220886681</v>
      </c>
      <c r="I35" s="183">
        <f>AVERAGE('Attached-IEA2020Projected Costs'!K13:K14)</f>
        <v>1328.76929204818</v>
      </c>
      <c r="J35" s="183">
        <f>AVERAGE('Attached-IEA2020Projected Costs'!L13:L14)</f>
        <v>1354.32488813285</v>
      </c>
      <c r="K35" s="183">
        <f>AVERAGE('Attached-IEA2020Projected Costs'!M13:M14)</f>
        <v>1373.17950609542</v>
      </c>
      <c r="L35" s="184"/>
      <c r="M35" s="184"/>
      <c r="N35" s="184"/>
      <c r="O35" s="183"/>
      <c r="P35" s="203"/>
      <c r="BD35" s="178" t="s">
        <v>119</v>
      </c>
      <c r="BE35" s="179">
        <v>1.662</v>
      </c>
      <c r="BF35" s="179">
        <v>6.63950338085495</v>
      </c>
      <c r="BG35" s="179">
        <v>18.5064599999999</v>
      </c>
      <c r="BH35" s="179">
        <v>7.68766200987103</v>
      </c>
      <c r="BI35" s="179">
        <v>30.8389709809355</v>
      </c>
      <c r="BK35" s="178" t="s">
        <v>98</v>
      </c>
      <c r="BM35" s="241">
        <f t="shared" si="5"/>
        <v>12.465</v>
      </c>
      <c r="BN35" s="241">
        <f t="shared" si="4"/>
        <v>49.7962753564121</v>
      </c>
      <c r="BO35" s="241">
        <f t="shared" si="4"/>
        <v>153.33924</v>
      </c>
      <c r="BP35" s="241">
        <f t="shared" si="4"/>
        <v>57.6574650740322</v>
      </c>
      <c r="BQ35" s="241">
        <f t="shared" si="4"/>
        <v>231.292282357025</v>
      </c>
      <c r="BR35" s="179" t="s">
        <v>98</v>
      </c>
      <c r="BS35" s="179" t="s">
        <v>98</v>
      </c>
    </row>
    <row r="36" spans="4:71">
      <c r="D36" s="182"/>
      <c r="E36" s="182" t="s">
        <v>74</v>
      </c>
      <c r="F36" s="183"/>
      <c r="G36" s="184"/>
      <c r="H36" s="188">
        <f>'Attached-IRENA2024 report'!J40</f>
        <v>1049.51721777189</v>
      </c>
      <c r="I36" s="183"/>
      <c r="J36" s="183"/>
      <c r="K36" s="183"/>
      <c r="L36" s="184"/>
      <c r="M36" s="184"/>
      <c r="N36" s="184"/>
      <c r="O36" s="183">
        <f>'Attached-DIB_GNESTE_Solar_Power'!V137</f>
        <v>990.405</v>
      </c>
      <c r="P36" s="203"/>
      <c r="V36" s="217" t="s">
        <v>75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BD36" s="178" t="s">
        <v>121</v>
      </c>
      <c r="BE36" s="179">
        <v>2.8116</v>
      </c>
      <c r="BF36" s="179">
        <v>8.12040790550802</v>
      </c>
      <c r="BG36" s="179">
        <v>18.9314099999999</v>
      </c>
      <c r="BH36" s="179">
        <v>13.6517786221096</v>
      </c>
      <c r="BI36" s="179">
        <v>42.8166865592381</v>
      </c>
      <c r="BK36" s="178" t="s">
        <v>98</v>
      </c>
      <c r="BM36" s="241">
        <f t="shared" si="5"/>
        <v>30.7572</v>
      </c>
      <c r="BN36" s="241">
        <f t="shared" si="4"/>
        <v>88.8323410269199</v>
      </c>
      <c r="BO36" s="241">
        <f t="shared" si="4"/>
        <v>236.80869</v>
      </c>
      <c r="BP36" s="241">
        <f t="shared" si="4"/>
        <v>149.342184320653</v>
      </c>
      <c r="BQ36" s="241">
        <f t="shared" si="4"/>
        <v>468.388601451055</v>
      </c>
      <c r="BR36" s="179" t="s">
        <v>98</v>
      </c>
      <c r="BS36" s="179" t="s">
        <v>98</v>
      </c>
    </row>
    <row r="37" spans="4:71">
      <c r="D37" s="182"/>
      <c r="E37" s="182" t="s">
        <v>72</v>
      </c>
      <c r="F37" s="183"/>
      <c r="G37" s="184"/>
      <c r="H37" s="183"/>
      <c r="I37" s="183"/>
      <c r="J37" s="183"/>
      <c r="K37" s="183"/>
      <c r="L37" s="184"/>
      <c r="M37" s="184"/>
      <c r="N37" s="184"/>
      <c r="O37" s="183">
        <f>'Attached-DIB_GNESTE_Solar_Power'!AA337</f>
        <v>936.56791089</v>
      </c>
      <c r="P37" s="203"/>
      <c r="V37" s="218"/>
      <c r="W37" s="219"/>
      <c r="X37" s="218" t="s">
        <v>40</v>
      </c>
      <c r="Y37" s="218"/>
      <c r="Z37" s="218"/>
      <c r="AA37" s="218"/>
      <c r="AB37" s="218"/>
      <c r="AC37" s="219"/>
      <c r="AD37" s="218" t="s">
        <v>41</v>
      </c>
      <c r="AE37" s="218"/>
      <c r="AF37" s="218"/>
      <c r="AG37" s="218"/>
      <c r="AH37" s="218"/>
      <c r="BD37" s="178" t="s">
        <v>87</v>
      </c>
      <c r="BE37" s="179">
        <v>345.813109482878</v>
      </c>
      <c r="BF37" s="179">
        <v>828.375539159578</v>
      </c>
      <c r="BG37" s="179">
        <v>1671.7872301179</v>
      </c>
      <c r="BH37" s="179">
        <v>895.014416168782</v>
      </c>
      <c r="BI37" s="179">
        <v>1912.82781041402</v>
      </c>
      <c r="BJ37" s="178">
        <v>909.303081381089</v>
      </c>
      <c r="BK37" s="178">
        <v>2012.47139529829</v>
      </c>
      <c r="BM37" s="241">
        <f t="shared" si="5"/>
        <v>2155.74086582089</v>
      </c>
      <c r="BN37" s="241">
        <f t="shared" si="4"/>
        <v>5163.95403483431</v>
      </c>
      <c r="BO37" s="241">
        <f t="shared" si="4"/>
        <v>10421.6409155567</v>
      </c>
      <c r="BP37" s="241">
        <f t="shared" si="4"/>
        <v>5579.36960608315</v>
      </c>
      <c r="BQ37" s="241">
        <f t="shared" si="4"/>
        <v>11924.2474247274</v>
      </c>
      <c r="BR37" s="241">
        <f t="shared" si="4"/>
        <v>5668.44274608718</v>
      </c>
      <c r="BS37" s="241">
        <f t="shared" si="4"/>
        <v>12545.4088036964</v>
      </c>
    </row>
    <row r="38" spans="4:71">
      <c r="D38" s="182" t="s">
        <v>76</v>
      </c>
      <c r="E38" s="182" t="s">
        <v>9</v>
      </c>
      <c r="F38" s="185">
        <f>Attached_WEO2023!B15</f>
        <v>1250</v>
      </c>
      <c r="G38" s="186">
        <f>Attached_WEO2023!F15</f>
        <v>1610</v>
      </c>
      <c r="H38" s="183">
        <f>'Attached-IRENA2024 report'!J83</f>
        <v>1248</v>
      </c>
      <c r="I38" s="183"/>
      <c r="J38" s="183"/>
      <c r="K38" s="183"/>
      <c r="L38" s="184"/>
      <c r="M38" s="184"/>
      <c r="N38" s="184"/>
      <c r="O38" s="183">
        <f>'Attached-DIB_GNESTE_Solar_Power'!AA341</f>
        <v>787.789251862</v>
      </c>
      <c r="P38" s="203"/>
      <c r="V38" s="220">
        <v>2023</v>
      </c>
      <c r="W38" s="221"/>
      <c r="X38" s="220">
        <v>2030</v>
      </c>
      <c r="Y38" s="220">
        <v>2035</v>
      </c>
      <c r="Z38" s="220">
        <v>2040</v>
      </c>
      <c r="AA38" s="220">
        <v>2045</v>
      </c>
      <c r="AB38" s="220">
        <v>2050</v>
      </c>
      <c r="AC38" s="221"/>
      <c r="AD38" s="220">
        <v>2030</v>
      </c>
      <c r="AE38" s="220">
        <v>2035</v>
      </c>
      <c r="AF38" s="220">
        <v>2040</v>
      </c>
      <c r="AG38" s="220">
        <v>2045</v>
      </c>
      <c r="AH38" s="220">
        <v>2050</v>
      </c>
      <c r="BD38" s="178" t="s">
        <v>126</v>
      </c>
      <c r="BE38" s="178"/>
      <c r="BF38" s="178"/>
      <c r="BG38" s="178"/>
      <c r="BH38" s="178"/>
      <c r="BI38" s="178"/>
      <c r="BM38" s="241"/>
      <c r="BN38" s="241"/>
      <c r="BO38" s="241"/>
      <c r="BP38" s="242"/>
      <c r="BQ38" s="241"/>
      <c r="BR38" s="241"/>
      <c r="BS38" s="241"/>
    </row>
    <row r="39" spans="4:71">
      <c r="D39" s="183" t="s">
        <v>77</v>
      </c>
      <c r="E39" s="183" t="s">
        <v>8</v>
      </c>
      <c r="F39" s="185">
        <f>Attached_WEO2023!B14</f>
        <v>1880</v>
      </c>
      <c r="G39" s="186">
        <f>Attached_WEO2023!F14</f>
        <v>1850</v>
      </c>
      <c r="H39" s="188">
        <f>'Attached-IRENA2024 report'!J15</f>
        <v>1875.23992880094</v>
      </c>
      <c r="I39" s="204">
        <f>'Attached-IEA2020Projected Costs'!K34</f>
        <v>2035.9917497626</v>
      </c>
      <c r="J39" s="204">
        <f>'Attached-IEA2020Projected Costs'!L34</f>
        <v>2075.14902341426</v>
      </c>
      <c r="K39" s="204">
        <f>'Attached-IEA2020Projected Costs'!M34</f>
        <v>2104.03879897306</v>
      </c>
      <c r="L39" s="205">
        <f>'Attached-IEA2020Projected Costs'!K33</f>
        <v>2367.472691368</v>
      </c>
      <c r="M39" s="205">
        <f>'Attached-IEA2020Projected Costs'!L33</f>
        <v>2413.00518237614</v>
      </c>
      <c r="N39" s="205">
        <f>'Attached-IEA2020Projected Costs'!M33</f>
        <v>2446.59851825444</v>
      </c>
      <c r="O39" s="183"/>
      <c r="P39" s="203"/>
      <c r="V39" s="222">
        <v>32.13</v>
      </c>
      <c r="W39" s="222"/>
      <c r="X39" s="222">
        <v>82.67</v>
      </c>
      <c r="Y39" s="222">
        <v>150.99</v>
      </c>
      <c r="Z39" s="222">
        <v>236.9</v>
      </c>
      <c r="AA39" s="222">
        <v>319.85</v>
      </c>
      <c r="AB39" s="222">
        <v>408.09</v>
      </c>
      <c r="AC39" s="232"/>
      <c r="AD39" s="222">
        <v>165.71</v>
      </c>
      <c r="AE39" s="222">
        <v>368.34</v>
      </c>
      <c r="AF39" s="222">
        <v>669.78</v>
      </c>
      <c r="AG39" s="222">
        <v>898.17</v>
      </c>
      <c r="AH39" s="222">
        <v>1074.26</v>
      </c>
      <c r="BD39" s="178" t="s">
        <v>113</v>
      </c>
      <c r="BE39" s="179">
        <v>46.4639552751973</v>
      </c>
      <c r="BF39" s="179">
        <v>86.4735531736292</v>
      </c>
      <c r="BG39" s="179">
        <v>123.405849916587</v>
      </c>
      <c r="BH39" s="179">
        <v>95.339442441199</v>
      </c>
      <c r="BI39" s="179">
        <v>131.388861035054</v>
      </c>
      <c r="BK39" s="178" t="s">
        <v>98</v>
      </c>
      <c r="BM39" s="241">
        <f>BE3+BE39</f>
        <v>347.735326877075</v>
      </c>
      <c r="BN39" s="241">
        <f t="shared" ref="BN39:BS46" si="6">BF3+BF39</f>
        <v>647.166370167062</v>
      </c>
      <c r="BO39" s="241">
        <f t="shared" si="6"/>
        <v>923.566952170207</v>
      </c>
      <c r="BP39" s="241">
        <f t="shared" si="6"/>
        <v>713.5185109664</v>
      </c>
      <c r="BQ39" s="241">
        <f t="shared" si="6"/>
        <v>983.311650276567</v>
      </c>
      <c r="BR39" s="179" t="s">
        <v>98</v>
      </c>
      <c r="BS39" s="179" t="s">
        <v>98</v>
      </c>
    </row>
    <row r="40" spans="4:71">
      <c r="D40" s="183"/>
      <c r="E40" s="183" t="s">
        <v>10</v>
      </c>
      <c r="F40" s="185">
        <f>Attached_WEO2023!B16</f>
        <v>670</v>
      </c>
      <c r="G40" s="186">
        <f>Attached_WEO2023!F16</f>
        <v>750</v>
      </c>
      <c r="H40" s="188">
        <f>'Attached-IRENA2024 report'!J11</f>
        <v>671.126163217668</v>
      </c>
      <c r="I40" s="204">
        <f>'Attached-IEA2020Projected Costs'!K61</f>
        <v>741.295337697466</v>
      </c>
      <c r="J40" s="204">
        <f>'Attached-IEA2020Projected Costs'!L61</f>
        <v>755.552322971745</v>
      </c>
      <c r="K40" s="204">
        <f>'Attached-IEA2020Projected Costs'!M61</f>
        <v>766.070958880442</v>
      </c>
      <c r="L40" s="184"/>
      <c r="M40" s="184"/>
      <c r="N40" s="184"/>
      <c r="O40" s="183">
        <f>'Attached-DIB_GNESTE_Solar_Power'!AA342</f>
        <v>694.646657334</v>
      </c>
      <c r="P40" s="203"/>
      <c r="BD40" s="178" t="s">
        <v>114</v>
      </c>
      <c r="BE40" s="179">
        <v>-10.8787965057082</v>
      </c>
      <c r="BF40" s="179">
        <v>-19.3490145862908</v>
      </c>
      <c r="BG40" s="179">
        <v>-32.398377782568</v>
      </c>
      <c r="BH40" s="179">
        <v>-25.924914324068</v>
      </c>
      <c r="BI40" s="179">
        <v>-54.4807222147608</v>
      </c>
      <c r="BK40" s="178" t="s">
        <v>98</v>
      </c>
      <c r="BM40" s="241">
        <f t="shared" ref="BM40:BM46" si="7">BE4+BE40</f>
        <v>41.3587982528539</v>
      </c>
      <c r="BN40" s="241">
        <f t="shared" si="6"/>
        <v>73.5607096103008</v>
      </c>
      <c r="BO40" s="241">
        <f t="shared" si="6"/>
        <v>123.171526347231</v>
      </c>
      <c r="BP40" s="241">
        <f t="shared" si="6"/>
        <v>98.560838111916</v>
      </c>
      <c r="BQ40" s="241">
        <f t="shared" si="6"/>
        <v>207.123756526543</v>
      </c>
      <c r="BR40" s="179" t="s">
        <v>98</v>
      </c>
      <c r="BS40" s="179" t="s">
        <v>98</v>
      </c>
    </row>
    <row r="41" spans="4:71">
      <c r="D41" s="183"/>
      <c r="E41" s="183" t="s">
        <v>11</v>
      </c>
      <c r="F41" s="185">
        <f>Attached_WEO2023!B17</f>
        <v>710</v>
      </c>
      <c r="G41" s="186">
        <f>Attached_WEO2023!F17</f>
        <v>780</v>
      </c>
      <c r="H41" s="188">
        <f>'Attached-IRENA2024 report'!J13</f>
        <v>711.328186596699</v>
      </c>
      <c r="I41" s="204">
        <f>'Attached-IEA2020Projected Costs'!K62</f>
        <v>638.035261492125</v>
      </c>
      <c r="J41" s="204">
        <f>'Attached-IEA2020Projected Costs'!L62</f>
        <v>650.30629418986</v>
      </c>
      <c r="K41" s="204">
        <f>'Attached-IEA2020Projected Costs'!M62</f>
        <v>659.359717665302</v>
      </c>
      <c r="L41" s="184"/>
      <c r="M41" s="184"/>
      <c r="N41" s="184"/>
      <c r="O41" s="183">
        <f>AVERAGE('Attached-DIB_GNESTE_Solar_Power'!W25,'Attached-DIB_GNESTE_Solar_Power'!V135,'Attached-DIB_GNESTE_Solar_Power'!AA343)</f>
        <v>670.571785346333</v>
      </c>
      <c r="P41" s="203"/>
      <c r="BD41" s="178" t="s">
        <v>116</v>
      </c>
      <c r="BE41" s="179">
        <v>80.2159538348519</v>
      </c>
      <c r="BF41" s="179">
        <v>177.555943216119</v>
      </c>
      <c r="BG41" s="179">
        <v>397.587672697365</v>
      </c>
      <c r="BH41" s="179">
        <v>208.177629852131</v>
      </c>
      <c r="BI41" s="179">
        <v>442.66046273386</v>
      </c>
      <c r="BK41" s="178" t="s">
        <v>98</v>
      </c>
      <c r="BM41" s="241">
        <f t="shared" si="7"/>
        <v>381.862514380894</v>
      </c>
      <c r="BN41" s="241">
        <f t="shared" si="6"/>
        <v>845.242818646372</v>
      </c>
      <c r="BO41" s="241">
        <f t="shared" si="6"/>
        <v>1892.68868753509</v>
      </c>
      <c r="BP41" s="241">
        <f t="shared" si="6"/>
        <v>991.015245381922</v>
      </c>
      <c r="BQ41" s="241">
        <f t="shared" si="6"/>
        <v>2107.25459507181</v>
      </c>
      <c r="BR41" s="179" t="s">
        <v>98</v>
      </c>
      <c r="BS41" s="179" t="s">
        <v>98</v>
      </c>
    </row>
    <row r="42" s="13" customFormat="1" spans="4:72">
      <c r="D42" s="183"/>
      <c r="E42" s="190" t="s">
        <v>78</v>
      </c>
      <c r="F42" s="183"/>
      <c r="G42" s="184"/>
      <c r="H42" s="188">
        <f>'Attached-IRENA2024 report'!J17</f>
        <v>1205.26012257957</v>
      </c>
      <c r="I42" s="204">
        <f>'Attached-IEA2020Projected Costs'!K36</f>
        <v>1244.04187033793</v>
      </c>
      <c r="J42" s="204">
        <f>'Attached-IEA2020Projected Costs'!L36</f>
        <v>1267.96794369094</v>
      </c>
      <c r="K42" s="204">
        <f>'Attached-IEA2020Projected Costs'!M36</f>
        <v>1285.62031896407</v>
      </c>
      <c r="L42" s="205">
        <f>'Attached-IEA2020Projected Costs'!K35</f>
        <v>1258.55886660528</v>
      </c>
      <c r="M42" s="205">
        <f>'Attached-IEA2020Projected Costs'!L35</f>
        <v>1282.76413853339</v>
      </c>
      <c r="N42" s="205">
        <f>'Attached-IEA2020Projected Costs'!M35</f>
        <v>1300.62250322863</v>
      </c>
      <c r="O42" s="183"/>
      <c r="P42" s="203"/>
      <c r="BD42" s="178" t="s">
        <v>76</v>
      </c>
      <c r="BE42" s="179">
        <v>1.80743873549983</v>
      </c>
      <c r="BF42" s="179">
        <v>4.35793952809843</v>
      </c>
      <c r="BG42" s="179">
        <v>6.83330389730064</v>
      </c>
      <c r="BH42" s="179">
        <v>5.09496620283444</v>
      </c>
      <c r="BI42" s="179">
        <v>12.3726671945665</v>
      </c>
      <c r="BJ42" s="178"/>
      <c r="BK42" s="178" t="s">
        <v>98</v>
      </c>
      <c r="BM42" s="241">
        <f t="shared" si="7"/>
        <v>9.4832806322501</v>
      </c>
      <c r="BN42" s="241">
        <f t="shared" si="6"/>
        <v>22.865263818696</v>
      </c>
      <c r="BO42" s="241">
        <f t="shared" si="6"/>
        <v>35.8530207584768</v>
      </c>
      <c r="BP42" s="241">
        <f t="shared" si="6"/>
        <v>26.7322998917291</v>
      </c>
      <c r="BQ42" s="241">
        <f t="shared" si="6"/>
        <v>64.9169860482509</v>
      </c>
      <c r="BR42" s="179" t="s">
        <v>98</v>
      </c>
      <c r="BS42" s="179" t="s">
        <v>98</v>
      </c>
      <c r="BT42" s="180"/>
    </row>
    <row r="43" spans="4:71">
      <c r="D43" s="183"/>
      <c r="E43" s="190" t="s">
        <v>79</v>
      </c>
      <c r="F43" s="183"/>
      <c r="G43" s="184"/>
      <c r="H43" s="188">
        <f>'Attached-IRENA2024 report'!J45</f>
        <v>988.628122847266</v>
      </c>
      <c r="I43" s="204">
        <f>'Attached-IEA2020Projected Costs'!K7</f>
        <v>895.147868712427</v>
      </c>
      <c r="J43" s="204">
        <f>'Attached-IEA2020Projected Costs'!L7</f>
        <v>912.363827499077</v>
      </c>
      <c r="K43" s="204">
        <f>'Attached-IEA2020Projected Costs'!M7</f>
        <v>925.065559233527</v>
      </c>
      <c r="L43" s="184"/>
      <c r="M43" s="184"/>
      <c r="N43" s="184"/>
      <c r="O43" s="183">
        <f>AVERAGE('Attached-DIB_GNESTE_Solar_Power'!AA19:AA21)</f>
        <v>932.2705</v>
      </c>
      <c r="P43" s="203"/>
      <c r="V43" s="175" t="s">
        <v>237</v>
      </c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BD43" s="178" t="s">
        <v>118</v>
      </c>
      <c r="BE43" s="179">
        <v>170.410098883895</v>
      </c>
      <c r="BF43" s="179">
        <v>440.778598705831</v>
      </c>
      <c r="BG43" s="179">
        <v>914.69881139584</v>
      </c>
      <c r="BH43" s="179">
        <v>456.709293753771</v>
      </c>
      <c r="BI43" s="179">
        <v>992.617304924948</v>
      </c>
      <c r="BK43" s="178" t="s">
        <v>98</v>
      </c>
      <c r="BM43" s="241">
        <f t="shared" si="7"/>
        <v>1529.40893004881</v>
      </c>
      <c r="BN43" s="241">
        <f t="shared" si="6"/>
        <v>3955.93177546559</v>
      </c>
      <c r="BO43" s="241">
        <f t="shared" si="6"/>
        <v>8209.30531474483</v>
      </c>
      <c r="BP43" s="241">
        <f t="shared" si="6"/>
        <v>4098.90773421361</v>
      </c>
      <c r="BQ43" s="241">
        <f t="shared" si="6"/>
        <v>8908.61386863875</v>
      </c>
      <c r="BR43" s="179" t="s">
        <v>98</v>
      </c>
      <c r="BS43" s="179" t="s">
        <v>98</v>
      </c>
    </row>
    <row r="44" s="172" customFormat="1" spans="4:72">
      <c r="D44" s="194"/>
      <c r="E44" s="469" t="s">
        <v>80</v>
      </c>
      <c r="F44" s="194"/>
      <c r="G44" s="194"/>
      <c r="H44" s="194">
        <f>'Attached-IRENA2024 report'!J78</f>
        <v>798</v>
      </c>
      <c r="I44" s="194"/>
      <c r="J44" s="194"/>
      <c r="K44" s="194"/>
      <c r="L44" s="194"/>
      <c r="M44" s="194"/>
      <c r="N44" s="194"/>
      <c r="O44" s="194">
        <f>AVERAGE('Attached-DIB_GNESTE_Solar_Power'!V3:V4,'Attached-DIB_GNESTE_Solar_Power'!V133)</f>
        <v>1913.40285</v>
      </c>
      <c r="P44" s="206"/>
      <c r="V44" s="223"/>
      <c r="W44" s="224" t="s">
        <v>238</v>
      </c>
      <c r="X44" s="223"/>
      <c r="Y44" s="223"/>
      <c r="Z44" s="223"/>
      <c r="AA44" s="223"/>
      <c r="AB44" s="224" t="s">
        <v>239</v>
      </c>
      <c r="AC44" s="223"/>
      <c r="AD44" s="223"/>
      <c r="AE44" s="223"/>
      <c r="AF44" s="223"/>
      <c r="AG44" s="224" t="s">
        <v>240</v>
      </c>
      <c r="AH44" s="223"/>
      <c r="AI44" s="223"/>
      <c r="AJ44" s="223"/>
      <c r="AK44" s="223"/>
      <c r="BD44" s="178" t="s">
        <v>119</v>
      </c>
      <c r="BE44" s="179">
        <v>2.21599999999999</v>
      </c>
      <c r="BF44" s="179">
        <v>8.85267117447327</v>
      </c>
      <c r="BG44" s="179">
        <v>24.6752799999999</v>
      </c>
      <c r="BH44" s="179">
        <v>10.2502160131614</v>
      </c>
      <c r="BI44" s="179">
        <v>41.1186279745807</v>
      </c>
      <c r="BJ44" s="178"/>
      <c r="BK44" s="178" t="s">
        <v>98</v>
      </c>
      <c r="BM44" s="241">
        <f t="shared" si="7"/>
        <v>13.019</v>
      </c>
      <c r="BN44" s="241">
        <f t="shared" si="6"/>
        <v>52.0094431500305</v>
      </c>
      <c r="BO44" s="241">
        <f t="shared" si="6"/>
        <v>159.50806</v>
      </c>
      <c r="BP44" s="241">
        <f t="shared" si="6"/>
        <v>60.2200190773226</v>
      </c>
      <c r="BQ44" s="241">
        <f t="shared" si="6"/>
        <v>241.57193935067</v>
      </c>
      <c r="BR44" s="179" t="s">
        <v>98</v>
      </c>
      <c r="BS44" s="179" t="s">
        <v>98</v>
      </c>
      <c r="BT44" s="180"/>
    </row>
    <row r="45" s="172" customFormat="1" spans="4:72">
      <c r="D45" s="194"/>
      <c r="E45" s="194" t="s">
        <v>81</v>
      </c>
      <c r="F45" s="194"/>
      <c r="G45" s="194"/>
      <c r="H45" s="194"/>
      <c r="I45" s="194"/>
      <c r="J45" s="194"/>
      <c r="K45" s="194"/>
      <c r="L45" s="194"/>
      <c r="M45" s="194"/>
      <c r="N45" s="194"/>
      <c r="O45" s="194">
        <f>AVERAGE('Attached-DIB_GNESTE_Solar_Power'!V5:V6)</f>
        <v>2262.804</v>
      </c>
      <c r="P45" s="206"/>
      <c r="V45" s="225">
        <v>2023</v>
      </c>
      <c r="W45" s="226">
        <v>2030</v>
      </c>
      <c r="X45" s="226">
        <v>2035</v>
      </c>
      <c r="Y45" s="226">
        <v>2040</v>
      </c>
      <c r="Z45" s="226">
        <v>2045</v>
      </c>
      <c r="AA45" s="226">
        <v>2050</v>
      </c>
      <c r="AB45" s="226">
        <v>2030</v>
      </c>
      <c r="AC45" s="226">
        <v>2035</v>
      </c>
      <c r="AD45" s="226">
        <v>2040</v>
      </c>
      <c r="AE45" s="226">
        <v>2045</v>
      </c>
      <c r="AF45" s="226">
        <v>2050</v>
      </c>
      <c r="AG45" s="226">
        <v>2030</v>
      </c>
      <c r="AH45" s="226">
        <v>2035</v>
      </c>
      <c r="AI45" s="226">
        <v>2040</v>
      </c>
      <c r="AJ45" s="226">
        <v>2045</v>
      </c>
      <c r="AK45" s="226">
        <v>2050</v>
      </c>
      <c r="BD45" s="178" t="s">
        <v>121</v>
      </c>
      <c r="BE45" s="179">
        <v>3.7488</v>
      </c>
      <c r="BF45" s="179">
        <v>10.8272105406774</v>
      </c>
      <c r="BG45" s="179">
        <v>25.2418799999999</v>
      </c>
      <c r="BH45" s="179">
        <v>18.2023714961462</v>
      </c>
      <c r="BI45" s="179">
        <v>57.0889154123174</v>
      </c>
      <c r="BJ45" s="178"/>
      <c r="BK45" s="178" t="s">
        <v>98</v>
      </c>
      <c r="BM45" s="241">
        <f t="shared" si="7"/>
        <v>31.6944</v>
      </c>
      <c r="BN45" s="241">
        <f t="shared" si="6"/>
        <v>91.5391436620893</v>
      </c>
      <c r="BO45" s="241">
        <f t="shared" si="6"/>
        <v>243.11916</v>
      </c>
      <c r="BP45" s="241">
        <f t="shared" si="6"/>
        <v>153.892777194689</v>
      </c>
      <c r="BQ45" s="241">
        <f t="shared" si="6"/>
        <v>482.660830304134</v>
      </c>
      <c r="BR45" s="179" t="s">
        <v>98</v>
      </c>
      <c r="BS45" s="179" t="s">
        <v>98</v>
      </c>
      <c r="BT45" s="180"/>
    </row>
    <row r="46" s="172" customFormat="1" spans="4:72">
      <c r="D46" s="194"/>
      <c r="E46" s="194" t="s">
        <v>82</v>
      </c>
      <c r="F46" s="194"/>
      <c r="G46" s="194"/>
      <c r="H46" s="194"/>
      <c r="I46" s="194"/>
      <c r="J46" s="194"/>
      <c r="K46" s="194"/>
      <c r="L46" s="194"/>
      <c r="M46" s="194"/>
      <c r="N46" s="194"/>
      <c r="O46" s="194">
        <f>AVERAGE('Attached-DIB_GNESTE_Solar_Power'!V7:V8)</f>
        <v>2229.198</v>
      </c>
      <c r="P46" s="206"/>
      <c r="V46" s="227">
        <v>1609.87</v>
      </c>
      <c r="W46" s="227">
        <v>5838.45</v>
      </c>
      <c r="X46" s="227">
        <v>9203.17</v>
      </c>
      <c r="Y46" s="227">
        <v>12333.11</v>
      </c>
      <c r="Z46" s="227">
        <v>14972.81</v>
      </c>
      <c r="AA46" s="227">
        <v>16445.01</v>
      </c>
      <c r="AB46" s="227">
        <v>6544.16</v>
      </c>
      <c r="AC46" s="227">
        <v>10792.62</v>
      </c>
      <c r="AD46" s="227">
        <v>14800.73</v>
      </c>
      <c r="AE46" s="227">
        <v>18066.24</v>
      </c>
      <c r="AF46" s="227">
        <v>20058.6</v>
      </c>
      <c r="AG46" s="227">
        <v>6698.82</v>
      </c>
      <c r="AH46" s="227">
        <v>12044.04</v>
      </c>
      <c r="AI46" s="227">
        <v>16455.02</v>
      </c>
      <c r="AJ46" s="227">
        <v>19462.09</v>
      </c>
      <c r="AK46" s="227">
        <v>21618.47</v>
      </c>
      <c r="BD46" s="178" t="s">
        <v>87</v>
      </c>
      <c r="BE46" s="179">
        <v>461.08414597717</v>
      </c>
      <c r="BF46" s="179">
        <v>1104.50071887944</v>
      </c>
      <c r="BG46" s="179">
        <v>2229.0496401572</v>
      </c>
      <c r="BH46" s="179">
        <v>1193.35255489171</v>
      </c>
      <c r="BI46" s="179">
        <v>2550.43708055203</v>
      </c>
      <c r="BJ46" s="178">
        <v>1212.40410850812</v>
      </c>
      <c r="BK46" s="178">
        <v>2683.29519373105</v>
      </c>
      <c r="BM46" s="241">
        <f t="shared" si="7"/>
        <v>2271.01190231518</v>
      </c>
      <c r="BN46" s="241">
        <f t="shared" si="6"/>
        <v>5440.07921455417</v>
      </c>
      <c r="BO46" s="241">
        <f t="shared" si="6"/>
        <v>10978.903325596</v>
      </c>
      <c r="BP46" s="241">
        <f t="shared" si="6"/>
        <v>5877.70774480608</v>
      </c>
      <c r="BQ46" s="241">
        <f t="shared" si="6"/>
        <v>12561.8566948654</v>
      </c>
      <c r="BR46" s="241">
        <f t="shared" si="6"/>
        <v>5971.54377321421</v>
      </c>
      <c r="BS46" s="241">
        <f t="shared" si="6"/>
        <v>13216.2326021292</v>
      </c>
      <c r="BT46" s="180"/>
    </row>
    <row r="47" s="172" customFormat="1" spans="4:72">
      <c r="D47" s="194"/>
      <c r="E47" s="194" t="s">
        <v>83</v>
      </c>
      <c r="F47" s="194"/>
      <c r="G47" s="194"/>
      <c r="H47" s="194"/>
      <c r="I47" s="194"/>
      <c r="J47" s="194"/>
      <c r="K47" s="194"/>
      <c r="L47" s="194"/>
      <c r="M47" s="194"/>
      <c r="N47" s="194"/>
      <c r="O47" s="194">
        <f>AVERAGE('Attached-DIB_GNESTE_Solar_Power'!V136)</f>
        <v>1108.15315</v>
      </c>
      <c r="P47" s="206"/>
      <c r="BD47" s="178" t="s">
        <v>127</v>
      </c>
      <c r="BE47" s="178"/>
      <c r="BF47" s="178"/>
      <c r="BG47" s="178"/>
      <c r="BH47" s="178"/>
      <c r="BI47" s="178"/>
      <c r="BJ47" s="178"/>
      <c r="BK47" s="178"/>
      <c r="BM47" s="243"/>
      <c r="BN47" s="243"/>
      <c r="BO47" s="243"/>
      <c r="BP47" s="242"/>
      <c r="BQ47" s="243"/>
      <c r="BR47" s="243"/>
      <c r="BS47" s="243"/>
      <c r="BT47" s="180"/>
    </row>
    <row r="48" spans="4:71">
      <c r="D48" s="183"/>
      <c r="E48" s="183" t="s">
        <v>84</v>
      </c>
      <c r="F48" s="183"/>
      <c r="G48" s="184"/>
      <c r="H48" s="183"/>
      <c r="I48" s="183"/>
      <c r="J48" s="183"/>
      <c r="K48" s="183"/>
      <c r="L48" s="184"/>
      <c r="M48" s="184"/>
      <c r="N48" s="184"/>
      <c r="O48" s="183">
        <f>'Attached-DIB_GNESTE_Solar_Power'!V11</f>
        <v>2254.9626</v>
      </c>
      <c r="P48" s="203"/>
      <c r="BD48" s="178" t="s">
        <v>113</v>
      </c>
      <c r="BE48" s="179">
        <v>58.0799440939967</v>
      </c>
      <c r="BF48" s="179">
        <v>108.091941467036</v>
      </c>
      <c r="BG48" s="179">
        <v>154.257312395734</v>
      </c>
      <c r="BH48" s="179">
        <v>119.174303051499</v>
      </c>
      <c r="BI48" s="179">
        <v>164.236076293818</v>
      </c>
      <c r="BK48" s="178" t="s">
        <v>98</v>
      </c>
      <c r="BM48" s="241">
        <f>BE3+BE48</f>
        <v>359.351315695875</v>
      </c>
      <c r="BN48" s="241">
        <f t="shared" ref="BN48:BS55" si="8">BF3+BF48</f>
        <v>668.784758460469</v>
      </c>
      <c r="BO48" s="241">
        <f t="shared" si="8"/>
        <v>954.418414649354</v>
      </c>
      <c r="BP48" s="241">
        <f t="shared" si="8"/>
        <v>737.3533715767</v>
      </c>
      <c r="BQ48" s="241">
        <f t="shared" si="8"/>
        <v>1016.15886553533</v>
      </c>
      <c r="BR48" s="179" t="s">
        <v>98</v>
      </c>
      <c r="BS48" s="179" t="s">
        <v>98</v>
      </c>
    </row>
    <row r="49" s="172" customFormat="1" spans="4:72">
      <c r="D49" s="194"/>
      <c r="E49" s="194" t="s">
        <v>85</v>
      </c>
      <c r="F49" s="194"/>
      <c r="G49" s="194"/>
      <c r="H49" s="194"/>
      <c r="I49" s="194"/>
      <c r="J49" s="194"/>
      <c r="K49" s="194"/>
      <c r="L49" s="194"/>
      <c r="M49" s="194"/>
      <c r="N49" s="194"/>
      <c r="O49" s="194">
        <f>'Attached-DIB_GNESTE_Solar_Power'!AA344</f>
        <v>718.766859876</v>
      </c>
      <c r="P49" s="206"/>
      <c r="BD49" s="178" t="s">
        <v>114</v>
      </c>
      <c r="BE49" s="179">
        <v>-13.5984956321353</v>
      </c>
      <c r="BF49" s="179">
        <v>-24.1862682328635</v>
      </c>
      <c r="BG49" s="179">
        <v>-40.49797222821</v>
      </c>
      <c r="BH49" s="179">
        <v>-32.406142905085</v>
      </c>
      <c r="BI49" s="179">
        <v>-68.100902768451</v>
      </c>
      <c r="BJ49" s="178"/>
      <c r="BK49" s="178" t="s">
        <v>98</v>
      </c>
      <c r="BM49" s="241">
        <f t="shared" ref="BM49:BM55" si="9">BE4+BE49</f>
        <v>38.6390991264268</v>
      </c>
      <c r="BN49" s="241">
        <f t="shared" si="8"/>
        <v>68.7234559637281</v>
      </c>
      <c r="BO49" s="241">
        <f t="shared" si="8"/>
        <v>115.071931901589</v>
      </c>
      <c r="BP49" s="241">
        <f t="shared" si="8"/>
        <v>92.079609530899</v>
      </c>
      <c r="BQ49" s="241">
        <f t="shared" si="8"/>
        <v>193.503575972853</v>
      </c>
      <c r="BR49" s="179" t="s">
        <v>98</v>
      </c>
      <c r="BS49" s="179" t="s">
        <v>98</v>
      </c>
      <c r="BT49" s="180"/>
    </row>
    <row r="50" spans="4:71">
      <c r="D50" s="183"/>
      <c r="E50" s="183" t="s">
        <v>86</v>
      </c>
      <c r="F50" s="183"/>
      <c r="G50" s="184"/>
      <c r="H50" s="183"/>
      <c r="I50" s="183"/>
      <c r="J50" s="183"/>
      <c r="K50" s="183"/>
      <c r="L50" s="184"/>
      <c r="M50" s="184"/>
      <c r="N50" s="184"/>
      <c r="O50" s="183">
        <f>'Attached-DIB_GNESTE_Solar_Power'!AA345</f>
        <v>922.20861766</v>
      </c>
      <c r="P50" s="203"/>
      <c r="BD50" s="178" t="s">
        <v>116</v>
      </c>
      <c r="BE50" s="179">
        <v>100.269942293565</v>
      </c>
      <c r="BF50" s="179">
        <v>221.944929020149</v>
      </c>
      <c r="BG50" s="179">
        <v>496.984590871706</v>
      </c>
      <c r="BH50" s="179">
        <v>260.222037315164</v>
      </c>
      <c r="BI50" s="179">
        <v>553.325578417325</v>
      </c>
      <c r="BK50" s="178" t="s">
        <v>98</v>
      </c>
      <c r="BM50" s="241">
        <f t="shared" si="9"/>
        <v>401.916502839607</v>
      </c>
      <c r="BN50" s="241">
        <f t="shared" si="8"/>
        <v>889.631804450402</v>
      </c>
      <c r="BO50" s="241">
        <f t="shared" si="8"/>
        <v>1992.08560570944</v>
      </c>
      <c r="BP50" s="241">
        <f t="shared" si="8"/>
        <v>1043.05965284496</v>
      </c>
      <c r="BQ50" s="241">
        <f t="shared" si="8"/>
        <v>2217.91971075527</v>
      </c>
      <c r="BR50" s="179" t="s">
        <v>98</v>
      </c>
      <c r="BS50" s="179" t="s">
        <v>98</v>
      </c>
    </row>
    <row r="51" spans="4:71">
      <c r="D51" s="182" t="s">
        <v>87</v>
      </c>
      <c r="E51" s="182"/>
      <c r="F51" s="183"/>
      <c r="G51" s="184"/>
      <c r="H51" s="188">
        <f>'Attached-IRENA2024 report'!AB11</f>
        <v>757.687831048275</v>
      </c>
      <c r="I51" s="183"/>
      <c r="J51" s="183"/>
      <c r="K51" s="183"/>
      <c r="L51" s="184"/>
      <c r="M51" s="184"/>
      <c r="N51" s="184"/>
      <c r="O51" s="183">
        <f>AVERAGE('Attached-DIB_GNESTE_Solar_Power'!W76:W322)</f>
        <v>918.0296</v>
      </c>
      <c r="BD51" s="178" t="s">
        <v>76</v>
      </c>
      <c r="BE51" s="179">
        <v>2.25929841937478</v>
      </c>
      <c r="BF51" s="179">
        <v>5.44742441012303</v>
      </c>
      <c r="BG51" s="179">
        <v>8.5416298716258</v>
      </c>
      <c r="BH51" s="179">
        <v>6.36870775354305</v>
      </c>
      <c r="BI51" s="179">
        <v>15.4658339932082</v>
      </c>
      <c r="BK51" s="178" t="s">
        <v>98</v>
      </c>
      <c r="BM51" s="241">
        <f t="shared" si="9"/>
        <v>9.93514031612505</v>
      </c>
      <c r="BN51" s="241">
        <f t="shared" si="8"/>
        <v>23.9547487007206</v>
      </c>
      <c r="BO51" s="241">
        <f t="shared" si="8"/>
        <v>37.561346732802</v>
      </c>
      <c r="BP51" s="241">
        <f t="shared" si="8"/>
        <v>28.0060414424377</v>
      </c>
      <c r="BQ51" s="241">
        <f t="shared" si="8"/>
        <v>68.0101528468926</v>
      </c>
      <c r="BR51" s="179" t="s">
        <v>98</v>
      </c>
      <c r="BS51" s="179" t="s">
        <v>98</v>
      </c>
    </row>
    <row r="52" spans="22:71">
      <c r="V52" s="228" t="s">
        <v>119</v>
      </c>
      <c r="W52" s="212" t="s">
        <v>251</v>
      </c>
      <c r="X52" s="212"/>
      <c r="Y52" s="212"/>
      <c r="Z52" s="212"/>
      <c r="AA52" s="212" t="s">
        <v>40</v>
      </c>
      <c r="AB52" s="212"/>
      <c r="AC52" s="212"/>
      <c r="AD52" s="212"/>
      <c r="AE52" s="212"/>
      <c r="AF52" s="212" t="s">
        <v>41</v>
      </c>
      <c r="AG52" s="212"/>
      <c r="AH52" s="212"/>
      <c r="AI52" s="212"/>
      <c r="AJ52" s="212"/>
      <c r="BD52" s="178" t="s">
        <v>118</v>
      </c>
      <c r="BE52" s="179">
        <v>213.012623604868</v>
      </c>
      <c r="BF52" s="179">
        <v>550.973248382288</v>
      </c>
      <c r="BG52" s="179">
        <v>1143.3735142448</v>
      </c>
      <c r="BH52" s="179">
        <v>570.886617192214</v>
      </c>
      <c r="BI52" s="179">
        <v>1240.77163115619</v>
      </c>
      <c r="BK52" s="178" t="s">
        <v>98</v>
      </c>
      <c r="BM52" s="241">
        <f t="shared" si="9"/>
        <v>1572.01145476979</v>
      </c>
      <c r="BN52" s="241">
        <f t="shared" si="8"/>
        <v>4066.12642514205</v>
      </c>
      <c r="BO52" s="241">
        <f t="shared" si="8"/>
        <v>8437.98001759379</v>
      </c>
      <c r="BP52" s="241">
        <f t="shared" si="8"/>
        <v>4213.08505765205</v>
      </c>
      <c r="BQ52" s="241">
        <f t="shared" si="8"/>
        <v>9156.76819486999</v>
      </c>
      <c r="BR52" s="179" t="s">
        <v>98</v>
      </c>
      <c r="BS52" s="179" t="s">
        <v>98</v>
      </c>
    </row>
    <row r="53" spans="22:71">
      <c r="V53" s="229"/>
      <c r="W53" s="214">
        <v>2010</v>
      </c>
      <c r="X53" s="214">
        <v>2015</v>
      </c>
      <c r="Y53" s="214">
        <v>2022</v>
      </c>
      <c r="Z53" s="214">
        <v>2023</v>
      </c>
      <c r="AA53" s="214">
        <v>2030</v>
      </c>
      <c r="AB53" s="214">
        <v>2035</v>
      </c>
      <c r="AC53" s="214">
        <v>2040</v>
      </c>
      <c r="AD53" s="214">
        <v>2045</v>
      </c>
      <c r="AE53" s="214">
        <v>2050</v>
      </c>
      <c r="AF53" s="214">
        <v>2030</v>
      </c>
      <c r="AG53" s="214">
        <v>2035</v>
      </c>
      <c r="AH53" s="214">
        <v>2040</v>
      </c>
      <c r="AI53" s="214">
        <v>2045</v>
      </c>
      <c r="AJ53" s="214">
        <v>2050</v>
      </c>
      <c r="BD53" s="178" t="s">
        <v>119</v>
      </c>
      <c r="BE53" s="179">
        <v>2.76999999999999</v>
      </c>
      <c r="BF53" s="179">
        <v>11.0658389680916</v>
      </c>
      <c r="BG53" s="179">
        <v>30.8440999999999</v>
      </c>
      <c r="BH53" s="179">
        <v>12.8127700164517</v>
      </c>
      <c r="BI53" s="179">
        <v>51.3982849682259</v>
      </c>
      <c r="BK53" s="178" t="s">
        <v>98</v>
      </c>
      <c r="BM53" s="241">
        <f t="shared" si="9"/>
        <v>13.573</v>
      </c>
      <c r="BN53" s="241">
        <f t="shared" si="8"/>
        <v>54.2226109436488</v>
      </c>
      <c r="BO53" s="241">
        <f t="shared" si="8"/>
        <v>165.67688</v>
      </c>
      <c r="BP53" s="241">
        <f t="shared" si="8"/>
        <v>62.7825730806129</v>
      </c>
      <c r="BQ53" s="241">
        <f t="shared" si="8"/>
        <v>251.851596344315</v>
      </c>
      <c r="BR53" s="179" t="s">
        <v>98</v>
      </c>
      <c r="BS53" s="179" t="s">
        <v>98</v>
      </c>
    </row>
    <row r="54" ht="23" spans="22:71">
      <c r="V54" s="230" t="s">
        <v>252</v>
      </c>
      <c r="W54" s="216">
        <v>0.02</v>
      </c>
      <c r="X54" s="216">
        <v>0.34</v>
      </c>
      <c r="Y54" s="216">
        <v>9.23</v>
      </c>
      <c r="Z54" s="216">
        <v>13.85</v>
      </c>
      <c r="AA54" s="216">
        <v>106.79</v>
      </c>
      <c r="AB54" s="216">
        <v>178.54</v>
      </c>
      <c r="AC54" s="216">
        <v>251.87</v>
      </c>
      <c r="AD54" s="216">
        <v>328.15</v>
      </c>
      <c r="AE54" s="216">
        <v>440.63</v>
      </c>
      <c r="AF54" s="216">
        <v>132.56</v>
      </c>
      <c r="AG54" s="216">
        <v>377.15</v>
      </c>
      <c r="AH54" s="216">
        <v>585.12</v>
      </c>
      <c r="AI54" s="216">
        <v>782.52</v>
      </c>
      <c r="AJ54" s="216">
        <v>1028.37</v>
      </c>
      <c r="BD54" s="178" t="s">
        <v>121</v>
      </c>
      <c r="BE54" s="179">
        <v>4.686</v>
      </c>
      <c r="BF54" s="179">
        <v>13.5340131758467</v>
      </c>
      <c r="BG54" s="179">
        <v>31.5523499999999</v>
      </c>
      <c r="BH54" s="179">
        <v>22.7529643701827</v>
      </c>
      <c r="BI54" s="179">
        <v>71.3611442653968</v>
      </c>
      <c r="BK54" s="178" t="s">
        <v>98</v>
      </c>
      <c r="BM54" s="241">
        <f t="shared" si="9"/>
        <v>32.6316</v>
      </c>
      <c r="BN54" s="241">
        <f t="shared" si="8"/>
        <v>94.2459462972586</v>
      </c>
      <c r="BO54" s="241">
        <f t="shared" si="8"/>
        <v>249.42963</v>
      </c>
      <c r="BP54" s="241">
        <f t="shared" si="8"/>
        <v>158.443370068726</v>
      </c>
      <c r="BQ54" s="241">
        <f t="shared" si="8"/>
        <v>496.933059157214</v>
      </c>
      <c r="BR54" s="179" t="s">
        <v>98</v>
      </c>
      <c r="BS54" s="179" t="s">
        <v>98</v>
      </c>
    </row>
    <row r="55" spans="56:71">
      <c r="BD55" s="178" t="s">
        <v>87</v>
      </c>
      <c r="BE55" s="179">
        <v>576.355182471463</v>
      </c>
      <c r="BF55" s="179">
        <v>1380.6258985993</v>
      </c>
      <c r="BG55" s="179">
        <v>2786.3120501965</v>
      </c>
      <c r="BH55" s="179">
        <v>1491.69069361464</v>
      </c>
      <c r="BI55" s="179">
        <v>3188.04635069004</v>
      </c>
      <c r="BJ55" s="178">
        <v>1515.50513563515</v>
      </c>
      <c r="BK55" s="178">
        <v>3354.11899216381</v>
      </c>
      <c r="BM55" s="241">
        <f t="shared" si="9"/>
        <v>2386.28293880947</v>
      </c>
      <c r="BN55" s="241">
        <f t="shared" si="8"/>
        <v>5716.20439427403</v>
      </c>
      <c r="BO55" s="241">
        <f t="shared" si="8"/>
        <v>11536.1657356353</v>
      </c>
      <c r="BP55" s="241">
        <f t="shared" si="8"/>
        <v>6176.04588352901</v>
      </c>
      <c r="BQ55" s="241">
        <f t="shared" si="8"/>
        <v>13199.4659650034</v>
      </c>
      <c r="BR55" s="241">
        <f t="shared" si="8"/>
        <v>6274.64480034124</v>
      </c>
      <c r="BS55" s="241">
        <f t="shared" si="8"/>
        <v>13887.0564005619</v>
      </c>
    </row>
    <row r="56" spans="56:71">
      <c r="BD56" s="178" t="s">
        <v>128</v>
      </c>
      <c r="BE56" s="178"/>
      <c r="BF56" s="178"/>
      <c r="BG56" s="178"/>
      <c r="BH56" s="178"/>
      <c r="BI56" s="178"/>
      <c r="BM56" s="241"/>
      <c r="BN56" s="241"/>
      <c r="BO56" s="241"/>
      <c r="BP56" s="242"/>
      <c r="BQ56" s="241"/>
      <c r="BR56" s="241"/>
      <c r="BS56" s="241"/>
    </row>
    <row r="57" spans="56:71">
      <c r="BD57" s="178" t="s">
        <v>113</v>
      </c>
      <c r="BE57" s="179">
        <v>69.695932912796</v>
      </c>
      <c r="BF57" s="179">
        <v>129.710329760444</v>
      </c>
      <c r="BG57" s="179">
        <v>185.108774874881</v>
      </c>
      <c r="BH57" s="179">
        <v>143.009163661799</v>
      </c>
      <c r="BI57" s="179">
        <v>197.083291552581</v>
      </c>
      <c r="BK57" s="178" t="s">
        <v>98</v>
      </c>
      <c r="BM57" s="241">
        <f>BE3+BE57</f>
        <v>370.967304514674</v>
      </c>
      <c r="BN57" s="241">
        <f t="shared" ref="BN57:BS64" si="10">BF3+BF57</f>
        <v>690.403146753877</v>
      </c>
      <c r="BO57" s="241">
        <f t="shared" si="10"/>
        <v>985.269877128501</v>
      </c>
      <c r="BP57" s="241">
        <f t="shared" si="10"/>
        <v>761.188232187</v>
      </c>
      <c r="BQ57" s="241">
        <f t="shared" si="10"/>
        <v>1049.00608079409</v>
      </c>
      <c r="BR57" s="179" t="s">
        <v>98</v>
      </c>
      <c r="BS57" s="179" t="s">
        <v>98</v>
      </c>
    </row>
    <row r="58" ht="26" spans="2:71">
      <c r="B58" s="196" t="s">
        <v>88</v>
      </c>
      <c r="E58" s="177" t="s">
        <v>89</v>
      </c>
      <c r="F58" s="177"/>
      <c r="G58" s="197"/>
      <c r="H58" s="198" t="s">
        <v>96</v>
      </c>
      <c r="I58" s="198"/>
      <c r="J58" s="198"/>
      <c r="K58" s="207" t="s">
        <v>21</v>
      </c>
      <c r="L58" s="207"/>
      <c r="M58" s="207"/>
      <c r="N58" s="208" t="s">
        <v>112</v>
      </c>
      <c r="O58" s="208"/>
      <c r="P58" s="208"/>
      <c r="V58" s="212" t="s">
        <v>121</v>
      </c>
      <c r="W58" s="213"/>
      <c r="X58" s="212" t="s">
        <v>40</v>
      </c>
      <c r="Y58" s="212"/>
      <c r="Z58" s="212"/>
      <c r="AA58" s="212"/>
      <c r="AB58" s="212"/>
      <c r="AC58" s="213"/>
      <c r="AD58" s="212" t="s">
        <v>41</v>
      </c>
      <c r="AE58" s="212"/>
      <c r="AF58" s="212"/>
      <c r="AG58" s="212"/>
      <c r="AH58" s="212"/>
      <c r="AK58" s="233" t="s">
        <v>95</v>
      </c>
      <c r="BD58" s="178" t="s">
        <v>114</v>
      </c>
      <c r="BE58" s="179">
        <v>-16.3181947585623</v>
      </c>
      <c r="BF58" s="179">
        <v>-29.0235218794362</v>
      </c>
      <c r="BG58" s="179">
        <v>-48.597566673852</v>
      </c>
      <c r="BH58" s="179">
        <v>-38.887371486102</v>
      </c>
      <c r="BI58" s="179">
        <v>-81.7210833221412</v>
      </c>
      <c r="BK58" s="178" t="s">
        <v>98</v>
      </c>
      <c r="BM58" s="241">
        <f t="shared" ref="BM58:BM64" si="11">BE4+BE58</f>
        <v>35.9193999999998</v>
      </c>
      <c r="BN58" s="241">
        <f t="shared" si="10"/>
        <v>63.8862023171554</v>
      </c>
      <c r="BO58" s="241">
        <f t="shared" si="10"/>
        <v>106.972337455947</v>
      </c>
      <c r="BP58" s="241">
        <f t="shared" si="10"/>
        <v>85.598380949882</v>
      </c>
      <c r="BQ58" s="241">
        <f t="shared" si="10"/>
        <v>179.883395419163</v>
      </c>
      <c r="BR58" s="179" t="s">
        <v>98</v>
      </c>
      <c r="BS58" s="179" t="s">
        <v>98</v>
      </c>
    </row>
    <row r="59" spans="4:71">
      <c r="D59" s="182"/>
      <c r="E59" s="182" t="s">
        <v>92</v>
      </c>
      <c r="F59" s="183" t="s">
        <v>93</v>
      </c>
      <c r="G59" s="184" t="s">
        <v>94</v>
      </c>
      <c r="H59" s="199"/>
      <c r="I59" s="199"/>
      <c r="J59" s="199"/>
      <c r="K59" s="155"/>
      <c r="L59" s="209"/>
      <c r="M59" s="209"/>
      <c r="N59" s="210"/>
      <c r="O59" s="211"/>
      <c r="P59" s="211"/>
      <c r="V59" s="214">
        <v>2023</v>
      </c>
      <c r="W59" s="215"/>
      <c r="X59" s="214">
        <v>2030</v>
      </c>
      <c r="Y59" s="214">
        <v>2035</v>
      </c>
      <c r="Z59" s="214">
        <v>2040</v>
      </c>
      <c r="AA59" s="214">
        <v>2045</v>
      </c>
      <c r="AB59" s="214">
        <v>2050</v>
      </c>
      <c r="AC59" s="215"/>
      <c r="AD59" s="214">
        <v>2030</v>
      </c>
      <c r="AE59" s="214">
        <v>2035</v>
      </c>
      <c r="AF59" s="214">
        <v>2040</v>
      </c>
      <c r="AG59" s="214">
        <v>2045</v>
      </c>
      <c r="AH59" s="214">
        <v>2050</v>
      </c>
      <c r="AL59">
        <v>2023</v>
      </c>
      <c r="AM59" t="s">
        <v>241</v>
      </c>
      <c r="AN59" t="s">
        <v>242</v>
      </c>
      <c r="AP59" t="s">
        <v>243</v>
      </c>
      <c r="AQ59" t="s">
        <v>244</v>
      </c>
      <c r="BD59" s="178" t="s">
        <v>116</v>
      </c>
      <c r="BE59" s="179">
        <v>120.323930752278</v>
      </c>
      <c r="BF59" s="179">
        <v>266.333914824179</v>
      </c>
      <c r="BG59" s="179">
        <v>596.381509046047</v>
      </c>
      <c r="BH59" s="179">
        <v>312.266444778197</v>
      </c>
      <c r="BI59" s="179">
        <v>663.99069410079</v>
      </c>
      <c r="BK59" s="178" t="s">
        <v>98</v>
      </c>
      <c r="BM59" s="241">
        <f t="shared" si="11"/>
        <v>421.97049129832</v>
      </c>
      <c r="BN59" s="241">
        <f t="shared" si="10"/>
        <v>934.020790254432</v>
      </c>
      <c r="BO59" s="241">
        <f t="shared" si="10"/>
        <v>2091.48252388378</v>
      </c>
      <c r="BP59" s="241">
        <f t="shared" si="10"/>
        <v>1095.10406030799</v>
      </c>
      <c r="BQ59" s="241">
        <f t="shared" si="10"/>
        <v>2328.58482643874</v>
      </c>
      <c r="BR59" s="179" t="s">
        <v>98</v>
      </c>
      <c r="BS59" s="179" t="s">
        <v>98</v>
      </c>
    </row>
    <row r="60" spans="4:71">
      <c r="D60" s="182" t="s">
        <v>38</v>
      </c>
      <c r="E60" s="200">
        <f>AVERAGE(F4:F29,H4:K29,O4:O29)</f>
        <v>795.948086909297</v>
      </c>
      <c r="F60" s="201">
        <f>AVERAGE(G4:G29,L4:N29)</f>
        <v>1153.03378450965</v>
      </c>
      <c r="G60" s="202">
        <f t="shared" ref="G60:G66" si="12">F60-E60</f>
        <v>357.085697600358</v>
      </c>
      <c r="H60" s="199">
        <f>E60*(0.8)^(LOG((AB19/V19),2))</f>
        <v>500.585288746707</v>
      </c>
      <c r="I60" s="199">
        <f>F60*(0.8)^(LOG((AB19/V19),2))</f>
        <v>725.162557013908</v>
      </c>
      <c r="J60" s="199">
        <f t="shared" ref="J60:J66" si="13">I60-H60</f>
        <v>224.577268267201</v>
      </c>
      <c r="K60" s="155">
        <f>E60*(0.8)^(LOG((AH19/V19),2))</f>
        <v>485.907404984676</v>
      </c>
      <c r="L60" s="209">
        <f>F60*(0.8)^(LOG((AH19/V19),2))</f>
        <v>703.899743344181</v>
      </c>
      <c r="M60" s="155">
        <f t="shared" ref="M60:M66" si="14">L60-K60</f>
        <v>217.992338359505</v>
      </c>
      <c r="N60" s="210"/>
      <c r="O60" s="211"/>
      <c r="P60" s="211"/>
      <c r="V60" s="216">
        <v>17.04</v>
      </c>
      <c r="W60" s="216"/>
      <c r="X60" s="216">
        <v>81.43</v>
      </c>
      <c r="Y60" s="216">
        <v>152.02</v>
      </c>
      <c r="Z60" s="216">
        <v>220.44</v>
      </c>
      <c r="AA60" s="216">
        <v>285.15</v>
      </c>
      <c r="AB60" s="216">
        <v>332.13</v>
      </c>
      <c r="AC60" s="231"/>
      <c r="AD60" s="216">
        <v>175.19</v>
      </c>
      <c r="AE60" s="216">
        <v>347.96</v>
      </c>
      <c r="AF60" s="216">
        <v>535.77</v>
      </c>
      <c r="AG60" s="216">
        <v>737.89</v>
      </c>
      <c r="AH60" s="216">
        <v>945.41</v>
      </c>
      <c r="AK60" s="182" t="s">
        <v>38</v>
      </c>
      <c r="AL60" s="234">
        <f>V19</f>
        <v>318.09</v>
      </c>
      <c r="AM60" s="234">
        <f>X19</f>
        <v>795.05</v>
      </c>
      <c r="AN60" s="234">
        <f>AB19</f>
        <v>1343.31</v>
      </c>
      <c r="AP60" s="234">
        <f>AD19</f>
        <v>918.14</v>
      </c>
      <c r="AQ60" s="234">
        <f>AH19</f>
        <v>1473.41</v>
      </c>
      <c r="AS60" s="234">
        <f>SUM(AL60:AL66)</f>
        <v>1609.87</v>
      </c>
      <c r="BD60" s="178" t="s">
        <v>76</v>
      </c>
      <c r="BE60" s="179">
        <v>2.71115810324974</v>
      </c>
      <c r="BF60" s="179">
        <v>6.53690929214764</v>
      </c>
      <c r="BG60" s="179">
        <v>10.249955845951</v>
      </c>
      <c r="BH60" s="179">
        <v>7.64244930425166</v>
      </c>
      <c r="BI60" s="179">
        <v>18.5590007918498</v>
      </c>
      <c r="BK60" s="178" t="s">
        <v>98</v>
      </c>
      <c r="BM60" s="241">
        <f t="shared" si="11"/>
        <v>10.387</v>
      </c>
      <c r="BN60" s="241">
        <f t="shared" si="10"/>
        <v>25.0442335827452</v>
      </c>
      <c r="BO60" s="241">
        <f t="shared" si="10"/>
        <v>39.2696727071272</v>
      </c>
      <c r="BP60" s="241">
        <f t="shared" si="10"/>
        <v>29.2797829931464</v>
      </c>
      <c r="BQ60" s="241">
        <f t="shared" si="10"/>
        <v>71.1033196455342</v>
      </c>
      <c r="BR60" s="179" t="s">
        <v>98</v>
      </c>
      <c r="BS60" s="179" t="s">
        <v>98</v>
      </c>
    </row>
    <row r="61" spans="4:71">
      <c r="D61" s="182" t="str">
        <f>D30</f>
        <v>South America</v>
      </c>
      <c r="E61" s="200">
        <f>AVERAGE(F30:F33,H30:K33,O30:O33)</f>
        <v>1016.93474958902</v>
      </c>
      <c r="F61" s="201">
        <f>AVERAGE(G30:G33,L30:N33)</f>
        <v>560</v>
      </c>
      <c r="G61" s="202">
        <f t="shared" si="12"/>
        <v>-456.934749589015</v>
      </c>
      <c r="H61" s="199">
        <f>E61*(0.8)^(LOG((AB13/V13),2))</f>
        <v>605.730610429214</v>
      </c>
      <c r="I61" s="199">
        <f>F61*(0.8)^(LOG((AB13/V13),2))</f>
        <v>333.56038032671</v>
      </c>
      <c r="J61" s="199">
        <f t="shared" si="13"/>
        <v>-272.170230102503</v>
      </c>
      <c r="K61" s="155">
        <f>E61*(0.8)^(LOG((AH13/V13),2))</f>
        <v>473.276200153804</v>
      </c>
      <c r="L61" s="209">
        <f>F61*(0.8)^(LOG((AH13/V13),2))</f>
        <v>260.621118703281</v>
      </c>
      <c r="M61" s="155">
        <f t="shared" si="14"/>
        <v>-212.655081450523</v>
      </c>
      <c r="N61" s="210"/>
      <c r="O61" s="211"/>
      <c r="P61" s="211"/>
      <c r="AK61" s="182" t="s">
        <v>69</v>
      </c>
      <c r="AL61" s="234">
        <f>V13</f>
        <v>61.93</v>
      </c>
      <c r="AM61" s="234">
        <f>X13</f>
        <v>144.78</v>
      </c>
      <c r="AN61" s="234">
        <f>AB13</f>
        <v>309.64</v>
      </c>
      <c r="AP61" s="234">
        <f>AD13</f>
        <v>222.89</v>
      </c>
      <c r="AQ61" s="234">
        <f>AH13</f>
        <v>666.41</v>
      </c>
      <c r="AS61" s="234">
        <f t="shared" ref="AS61:AS66" si="15">AS60</f>
        <v>1609.87</v>
      </c>
      <c r="BD61" s="178" t="s">
        <v>118</v>
      </c>
      <c r="BE61" s="179">
        <v>255.615148325842</v>
      </c>
      <c r="BF61" s="179">
        <v>661.167898058746</v>
      </c>
      <c r="BG61" s="179">
        <v>1372.04821709376</v>
      </c>
      <c r="BH61" s="179">
        <v>685.063940630656</v>
      </c>
      <c r="BI61" s="179">
        <v>1488.92595738742</v>
      </c>
      <c r="BK61" s="178" t="s">
        <v>98</v>
      </c>
      <c r="BM61" s="241">
        <f t="shared" si="11"/>
        <v>1614.61397949076</v>
      </c>
      <c r="BN61" s="241">
        <f t="shared" si="10"/>
        <v>4176.32107481851</v>
      </c>
      <c r="BO61" s="241">
        <f t="shared" si="10"/>
        <v>8666.65472044275</v>
      </c>
      <c r="BP61" s="241">
        <f t="shared" si="10"/>
        <v>4327.2623810905</v>
      </c>
      <c r="BQ61" s="241">
        <f t="shared" si="10"/>
        <v>9404.92252110122</v>
      </c>
      <c r="BR61" s="179" t="s">
        <v>98</v>
      </c>
      <c r="BS61" s="179" t="s">
        <v>98</v>
      </c>
    </row>
    <row r="62" spans="4:71">
      <c r="D62" s="182" t="str">
        <f>D34</f>
        <v>North America</v>
      </c>
      <c r="E62" s="200">
        <f>AVERAGE(F34:F37,H34:K37,O34:O37)</f>
        <v>1173.61743966932</v>
      </c>
      <c r="F62" s="201">
        <f>AVERAGE(G34:G37,L34:N37)</f>
        <v>2230.47661786434</v>
      </c>
      <c r="G62" s="202">
        <f t="shared" si="12"/>
        <v>1056.85917819501</v>
      </c>
      <c r="H62" s="199">
        <f>E62*(0.8)^(LOG((AB6/V6),2))</f>
        <v>548.882993395212</v>
      </c>
      <c r="I62" s="199">
        <f>F62*(0.8)^(LOG((AB6/V6),2))</f>
        <v>1043.15992701706</v>
      </c>
      <c r="J62" s="199">
        <f t="shared" si="13"/>
        <v>494.276933621853</v>
      </c>
      <c r="K62" s="155">
        <f>E62*(0.8)^(LOG((AH6/V6),2))</f>
        <v>521.59995183811</v>
      </c>
      <c r="L62" s="209">
        <f>F62*(0.8)^(LOG((AH6/V6),2))</f>
        <v>991.308118923209</v>
      </c>
      <c r="M62" s="155">
        <f t="shared" si="14"/>
        <v>469.708167085099</v>
      </c>
      <c r="N62" s="210"/>
      <c r="O62" s="211"/>
      <c r="P62" s="211"/>
      <c r="AK62" s="182" t="s">
        <v>72</v>
      </c>
      <c r="AL62" s="234">
        <f>V6</f>
        <v>188.55</v>
      </c>
      <c r="AM62" s="234">
        <f>X6</f>
        <v>608.6</v>
      </c>
      <c r="AN62" s="234">
        <f>AB6</f>
        <v>1998.23</v>
      </c>
      <c r="AP62" s="234">
        <f>AD6</f>
        <v>769.55</v>
      </c>
      <c r="AQ62" s="234">
        <f>AH6</f>
        <v>2341.13</v>
      </c>
      <c r="AS62" s="234">
        <f t="shared" si="15"/>
        <v>1609.87</v>
      </c>
      <c r="BD62" s="178" t="s">
        <v>119</v>
      </c>
      <c r="BE62" s="179">
        <v>3.32399999999999</v>
      </c>
      <c r="BF62" s="179">
        <v>13.2790067617099</v>
      </c>
      <c r="BG62" s="179">
        <v>37.0129199999999</v>
      </c>
      <c r="BH62" s="179">
        <v>15.3753240197421</v>
      </c>
      <c r="BI62" s="179">
        <v>61.6779419618711</v>
      </c>
      <c r="BK62" s="178" t="s">
        <v>98</v>
      </c>
      <c r="BM62" s="241">
        <f t="shared" si="11"/>
        <v>14.127</v>
      </c>
      <c r="BN62" s="241">
        <f t="shared" si="10"/>
        <v>56.4357787372671</v>
      </c>
      <c r="BO62" s="241">
        <f t="shared" si="10"/>
        <v>171.8457</v>
      </c>
      <c r="BP62" s="241">
        <f t="shared" si="10"/>
        <v>65.3451270839033</v>
      </c>
      <c r="BQ62" s="241">
        <f t="shared" si="10"/>
        <v>262.13125333796</v>
      </c>
      <c r="BR62" s="179" t="s">
        <v>98</v>
      </c>
      <c r="BS62" s="179" t="s">
        <v>98</v>
      </c>
    </row>
    <row r="63" spans="4:71">
      <c r="D63" s="182" t="str">
        <f>D38</f>
        <v>Eurasia</v>
      </c>
      <c r="E63" s="200">
        <f>AVERAGE(F38,H38:K38,O38)</f>
        <v>1095.263083954</v>
      </c>
      <c r="F63" s="201">
        <f>AVERAGE(G38,L38:N38)</f>
        <v>1610</v>
      </c>
      <c r="G63" s="202">
        <f t="shared" si="12"/>
        <v>514.736916046</v>
      </c>
      <c r="H63" s="199">
        <f>E63*(0.8)^(LOG((AB25/V25),2))</f>
        <v>582.514824524485</v>
      </c>
      <c r="I63" s="199">
        <f>F63*(0.8)^(LOG((AB25/V25),2))</f>
        <v>856.277255414015</v>
      </c>
      <c r="J63" s="199">
        <f t="shared" si="13"/>
        <v>273.76243088953</v>
      </c>
      <c r="K63" s="155">
        <f>E63*(0.8)^(LOG((AH25/V25),2))</f>
        <v>439.4362097842</v>
      </c>
      <c r="L63" s="209">
        <f>F63*(0.8)^(LOG((AH25/V25),2))</f>
        <v>645.956490378961</v>
      </c>
      <c r="M63" s="155">
        <f t="shared" si="14"/>
        <v>206.520280594761</v>
      </c>
      <c r="N63" s="210"/>
      <c r="O63" s="211"/>
      <c r="P63" s="211"/>
      <c r="AK63" s="182" t="s">
        <v>76</v>
      </c>
      <c r="AL63" s="234">
        <f>V25</f>
        <v>4.7</v>
      </c>
      <c r="AM63" s="234">
        <f>X25</f>
        <v>17.21</v>
      </c>
      <c r="AN63" s="234">
        <f>AB25</f>
        <v>33.41</v>
      </c>
      <c r="AP63" s="234">
        <f>AD25</f>
        <v>21.67</v>
      </c>
      <c r="AQ63" s="234">
        <f>AH25</f>
        <v>80.19</v>
      </c>
      <c r="AS63" s="234">
        <f t="shared" si="15"/>
        <v>1609.87</v>
      </c>
      <c r="BD63" s="178" t="s">
        <v>121</v>
      </c>
      <c r="BE63" s="179">
        <v>5.6232</v>
      </c>
      <c r="BF63" s="179">
        <v>16.240815811016</v>
      </c>
      <c r="BG63" s="179">
        <v>37.8628199999999</v>
      </c>
      <c r="BH63" s="179">
        <v>27.3035572442192</v>
      </c>
      <c r="BI63" s="179">
        <v>85.6333731184761</v>
      </c>
      <c r="BK63" s="178" t="s">
        <v>98</v>
      </c>
      <c r="BM63" s="241">
        <f t="shared" si="11"/>
        <v>33.5688</v>
      </c>
      <c r="BN63" s="241">
        <f t="shared" si="10"/>
        <v>96.9527489324279</v>
      </c>
      <c r="BO63" s="241">
        <f t="shared" si="10"/>
        <v>255.7401</v>
      </c>
      <c r="BP63" s="241">
        <f t="shared" si="10"/>
        <v>162.993962942762</v>
      </c>
      <c r="BQ63" s="241">
        <f t="shared" si="10"/>
        <v>511.205288010293</v>
      </c>
      <c r="BR63" s="179" t="s">
        <v>98</v>
      </c>
      <c r="BS63" s="179" t="s">
        <v>98</v>
      </c>
    </row>
    <row r="64" spans="4:71">
      <c r="D64" s="182" t="str">
        <f>D39</f>
        <v>Asia Pacific</v>
      </c>
      <c r="E64" s="200">
        <f>AVERAGE(F39:F50,H39:K50,O39:O50)</f>
        <v>1181.54630581598</v>
      </c>
      <c r="F64" s="201">
        <f>AVERAGE(G39:G50,L39:N50)</f>
        <v>1605.44687781843</v>
      </c>
      <c r="G64" s="202">
        <f t="shared" si="12"/>
        <v>423.900572002452</v>
      </c>
      <c r="H64" s="199">
        <f>E64*(0.8)^(LOG((AB31/V31),2))</f>
        <v>532.073812737528</v>
      </c>
      <c r="I64" s="199">
        <f>F64*(0.8)^(LOG((AB31/V31),2))</f>
        <v>722.964675378075</v>
      </c>
      <c r="J64" s="199">
        <f t="shared" si="13"/>
        <v>190.890862640547</v>
      </c>
      <c r="K64" s="155">
        <f>E64*(0.8)^(LOG((AH31/V31),2))</f>
        <v>511.818270961954</v>
      </c>
      <c r="L64" s="209">
        <f>F64*(0.8)^(LOG((AH31/V31),2))</f>
        <v>695.442100814518</v>
      </c>
      <c r="M64" s="155">
        <f t="shared" si="14"/>
        <v>183.623829852564</v>
      </c>
      <c r="N64" s="210"/>
      <c r="O64" s="211"/>
      <c r="P64" s="211"/>
      <c r="AK64" s="182" t="s">
        <v>77</v>
      </c>
      <c r="AL64" s="234">
        <f>V31</f>
        <v>1005.71</v>
      </c>
      <c r="AM64" s="234">
        <f>X31</f>
        <v>4084.58</v>
      </c>
      <c r="AN64" s="234">
        <f>AB31</f>
        <v>11987.66</v>
      </c>
      <c r="AP64" s="234">
        <f>AD31</f>
        <v>4304.15</v>
      </c>
      <c r="AQ64" s="234">
        <f>AH31</f>
        <v>13523.66</v>
      </c>
      <c r="AS64" s="234">
        <f t="shared" si="15"/>
        <v>1609.87</v>
      </c>
      <c r="BD64" s="178" t="s">
        <v>87</v>
      </c>
      <c r="BE64" s="179">
        <v>691.626218965755</v>
      </c>
      <c r="BF64" s="179">
        <v>1656.75107831916</v>
      </c>
      <c r="BG64" s="179">
        <v>3343.5744602358</v>
      </c>
      <c r="BH64" s="179">
        <v>1790.02883233756</v>
      </c>
      <c r="BI64" s="179">
        <v>3825.65562082805</v>
      </c>
      <c r="BJ64" s="178">
        <v>1818.60616276218</v>
      </c>
      <c r="BK64" s="178">
        <v>4024.94279059657</v>
      </c>
      <c r="BM64" s="241">
        <f t="shared" si="11"/>
        <v>2501.55397530377</v>
      </c>
      <c r="BN64" s="241">
        <f t="shared" si="10"/>
        <v>5992.32957399389</v>
      </c>
      <c r="BO64" s="241">
        <f t="shared" si="10"/>
        <v>12093.4281456747</v>
      </c>
      <c r="BP64" s="241">
        <f t="shared" si="10"/>
        <v>6474.38402225193</v>
      </c>
      <c r="BQ64" s="241">
        <f t="shared" si="10"/>
        <v>13837.0752351414</v>
      </c>
      <c r="BR64" s="241">
        <f t="shared" si="10"/>
        <v>6577.74582746827</v>
      </c>
      <c r="BS64" s="241">
        <f t="shared" si="10"/>
        <v>14557.8801989947</v>
      </c>
    </row>
    <row r="65" spans="4:71">
      <c r="D65" s="244" t="s">
        <v>12</v>
      </c>
      <c r="E65" s="169">
        <v>610</v>
      </c>
      <c r="F65" s="169">
        <v>1010</v>
      </c>
      <c r="G65" s="245">
        <f t="shared" si="12"/>
        <v>400</v>
      </c>
      <c r="H65" s="169">
        <v>250</v>
      </c>
      <c r="I65" s="169">
        <v>390</v>
      </c>
      <c r="J65" s="199">
        <f t="shared" si="13"/>
        <v>140</v>
      </c>
      <c r="K65" s="274">
        <f>H65*(0.8)^(LOG((AJ54/AE54),2))</f>
        <v>190.303255106782</v>
      </c>
      <c r="L65" s="275">
        <f>I65*(0.8)^(LOG((AJ54/AE54),2))</f>
        <v>296.873077966581</v>
      </c>
      <c r="M65" s="275">
        <f t="shared" si="14"/>
        <v>106.569822859798</v>
      </c>
      <c r="N65" s="169">
        <v>220</v>
      </c>
      <c r="O65" s="169">
        <v>340</v>
      </c>
      <c r="P65" s="211">
        <f>O65-N65</f>
        <v>120</v>
      </c>
      <c r="AK65" s="244" t="s">
        <v>12</v>
      </c>
      <c r="AL65" s="234">
        <f>Z54</f>
        <v>13.85</v>
      </c>
      <c r="AM65" s="234">
        <f>AA54</f>
        <v>106.79</v>
      </c>
      <c r="AN65" s="234">
        <f>AE54</f>
        <v>440.63</v>
      </c>
      <c r="AP65" s="234">
        <f>AF54</f>
        <v>132.56</v>
      </c>
      <c r="AQ65" s="234">
        <f>AJ54</f>
        <v>1028.37</v>
      </c>
      <c r="AS65" s="234">
        <f t="shared" si="15"/>
        <v>1609.87</v>
      </c>
      <c r="BM65" s="241"/>
      <c r="BN65" s="241"/>
      <c r="BO65" s="241"/>
      <c r="BP65" s="241"/>
      <c r="BQ65" s="241"/>
      <c r="BR65" s="241"/>
      <c r="BS65" s="241"/>
    </row>
    <row r="66" s="173" customFormat="1" spans="4:72">
      <c r="D66" s="173" t="s">
        <v>13</v>
      </c>
      <c r="E66" s="169">
        <v>1330</v>
      </c>
      <c r="F66" s="169">
        <v>1830</v>
      </c>
      <c r="G66" s="246">
        <f t="shared" si="12"/>
        <v>500</v>
      </c>
      <c r="H66" s="169">
        <v>550</v>
      </c>
      <c r="I66" s="169">
        <v>750</v>
      </c>
      <c r="J66" s="276">
        <f t="shared" si="13"/>
        <v>200</v>
      </c>
      <c r="K66" s="155">
        <f>H66*(0.8)^(LOG((AH60/AB60),2))</f>
        <v>392.741563844678</v>
      </c>
      <c r="L66" s="209">
        <f>I66*(0.8)^(LOG((AH60/AB60),2))</f>
        <v>535.556677970015</v>
      </c>
      <c r="M66" s="209">
        <f t="shared" si="14"/>
        <v>142.815114125337</v>
      </c>
      <c r="N66" s="169">
        <v>480</v>
      </c>
      <c r="O66" s="169">
        <v>620</v>
      </c>
      <c r="P66" s="211">
        <f>O66-N66</f>
        <v>140</v>
      </c>
      <c r="AK66" s="173" t="s">
        <v>13</v>
      </c>
      <c r="AL66" s="289">
        <f>V60</f>
        <v>17.04</v>
      </c>
      <c r="AM66" s="289">
        <f>X60</f>
        <v>81.43</v>
      </c>
      <c r="AN66" s="289">
        <f>AB60</f>
        <v>332.13</v>
      </c>
      <c r="AP66" s="289">
        <f>AD60</f>
        <v>175.19</v>
      </c>
      <c r="AQ66" s="289">
        <f>AH60</f>
        <v>945.41</v>
      </c>
      <c r="AS66" s="234">
        <f t="shared" si="15"/>
        <v>1609.87</v>
      </c>
      <c r="BC66" s="290"/>
      <c r="BD66" s="178"/>
      <c r="BE66" s="179"/>
      <c r="BF66" s="179"/>
      <c r="BG66" s="179"/>
      <c r="BH66" s="179"/>
      <c r="BI66" s="179"/>
      <c r="BJ66" s="178"/>
      <c r="BK66" s="178"/>
      <c r="BL66" s="291"/>
      <c r="BM66" s="292"/>
      <c r="BN66" s="292"/>
      <c r="BO66" s="292"/>
      <c r="BP66" s="292"/>
      <c r="BQ66" s="292"/>
      <c r="BR66" s="292"/>
      <c r="BS66" s="292"/>
      <c r="BT66" s="293"/>
    </row>
    <row r="67" s="174" customFormat="1" spans="4:72">
      <c r="D67" s="247"/>
      <c r="E67" s="248"/>
      <c r="F67" s="249"/>
      <c r="G67" s="250"/>
      <c r="H67" s="211"/>
      <c r="I67" s="211"/>
      <c r="J67" s="211"/>
      <c r="K67" s="176"/>
      <c r="L67" s="255"/>
      <c r="M67" s="176"/>
      <c r="N67" s="210"/>
      <c r="O67" s="211"/>
      <c r="P67" s="211"/>
      <c r="BD67" s="178"/>
      <c r="BE67" s="179"/>
      <c r="BF67" s="179"/>
      <c r="BG67" s="179"/>
      <c r="BH67" s="179"/>
      <c r="BI67" s="179"/>
      <c r="BJ67" s="178"/>
      <c r="BK67" s="178"/>
      <c r="BM67" s="294"/>
      <c r="BN67" s="294"/>
      <c r="BO67" s="294"/>
      <c r="BP67" s="294"/>
      <c r="BQ67" s="294"/>
      <c r="BR67" s="294"/>
      <c r="BS67" s="294"/>
      <c r="BT67" s="295"/>
    </row>
    <row r="68" s="174" customFormat="1" spans="4:72">
      <c r="D68" s="247"/>
      <c r="E68" s="248"/>
      <c r="F68" s="249"/>
      <c r="G68" s="250"/>
      <c r="H68" s="211"/>
      <c r="I68" s="211"/>
      <c r="J68" s="211"/>
      <c r="K68" s="176"/>
      <c r="L68" s="255"/>
      <c r="M68" s="176"/>
      <c r="N68" s="210"/>
      <c r="O68" s="211"/>
      <c r="P68" s="211"/>
      <c r="BD68" s="178"/>
      <c r="BE68" s="179"/>
      <c r="BF68" s="179"/>
      <c r="BG68" s="179"/>
      <c r="BH68" s="179"/>
      <c r="BI68" s="179"/>
      <c r="BJ68" s="178"/>
      <c r="BK68" s="178"/>
      <c r="BM68" s="294"/>
      <c r="BN68" s="294"/>
      <c r="BO68" s="294"/>
      <c r="BP68" s="294"/>
      <c r="BQ68" s="294"/>
      <c r="BR68" s="294"/>
      <c r="BS68" s="294"/>
      <c r="BT68" s="295"/>
    </row>
    <row r="69" s="175" customFormat="1" spans="4:72">
      <c r="D69" s="251" t="s">
        <v>87</v>
      </c>
      <c r="E69" s="252">
        <f>AVERAGE(E60*AL60/AS60+E61*AL61/AS61+E62*AL62/AS62+E63*AL63/AS63+E64*AL64/AS64+E65*AL65/AS65+E66*AL66/AS66)</f>
        <v>1094.49821164035</v>
      </c>
      <c r="F69" s="252">
        <f>AVERAGE(F60*AL60/AS60+F61*AL61/AS61+F62*AL62/AS62+F63*AL63/AS63+F64*AL64/AS64+F65*AL65/AS65+F66*AL66/AS66)</f>
        <v>1546.31017554447</v>
      </c>
      <c r="G69" s="202">
        <f>F69-E69</f>
        <v>451.811963904118</v>
      </c>
      <c r="H69" s="253">
        <f>E69*(0.8)^(LOG((AA46/V46),2))</f>
        <v>517.977949793087</v>
      </c>
      <c r="I69" s="253">
        <f>F69*(0.8)^(LOG((AA46/V46),2))</f>
        <v>731.800715573854</v>
      </c>
      <c r="J69" s="199">
        <f>I69-H69</f>
        <v>213.822765780767</v>
      </c>
      <c r="K69" s="277">
        <f>E69*(0.8)^(LOG((AF46/V46),2))</f>
        <v>485.891912043451</v>
      </c>
      <c r="L69" s="277">
        <f>F69*(0.8)^(LOG((AF46/V46),2))</f>
        <v>686.469470499633</v>
      </c>
      <c r="M69" s="155">
        <f>L69-K69</f>
        <v>200.577558456182</v>
      </c>
      <c r="N69" s="278">
        <f>E69*(0.8)^(LOG((AK46/V46),2))</f>
        <v>474.317526265824</v>
      </c>
      <c r="O69" s="278">
        <f>F69*(0.8)^(LOG((AK46/V46),2))</f>
        <v>670.117145467691</v>
      </c>
      <c r="P69" s="211">
        <f>O69-N69</f>
        <v>195.799619201867</v>
      </c>
      <c r="BD69" s="178"/>
      <c r="BE69" s="179"/>
      <c r="BF69" s="179"/>
      <c r="BG69" s="179"/>
      <c r="BH69" s="179"/>
      <c r="BI69" s="179"/>
      <c r="BJ69" s="178"/>
      <c r="BK69" s="178"/>
      <c r="BM69" s="296"/>
      <c r="BN69" s="296"/>
      <c r="BO69" s="296"/>
      <c r="BP69" s="296"/>
      <c r="BQ69" s="296"/>
      <c r="BR69" s="296"/>
      <c r="BS69" s="296"/>
      <c r="BT69" s="180"/>
    </row>
    <row r="70" s="174" customFormat="1" spans="5:72">
      <c r="E70" s="254"/>
      <c r="F70" s="176"/>
      <c r="G70" s="255"/>
      <c r="H70" s="211"/>
      <c r="I70" s="211"/>
      <c r="J70" s="211"/>
      <c r="K70" s="176"/>
      <c r="L70" s="255"/>
      <c r="M70" s="255"/>
      <c r="N70" s="210"/>
      <c r="O70" s="211"/>
      <c r="P70" s="211"/>
      <c r="BD70" s="178"/>
      <c r="BE70" s="179"/>
      <c r="BF70" s="179"/>
      <c r="BG70" s="179"/>
      <c r="BH70" s="179"/>
      <c r="BI70" s="179"/>
      <c r="BJ70" s="178"/>
      <c r="BK70" s="178"/>
      <c r="BM70" s="294"/>
      <c r="BN70" s="294"/>
      <c r="BO70" s="294"/>
      <c r="BP70" s="294"/>
      <c r="BQ70" s="294"/>
      <c r="BR70" s="294"/>
      <c r="BS70" s="294"/>
      <c r="BT70" s="295"/>
    </row>
    <row r="71" s="174" customFormat="1" spans="5:72">
      <c r="E71" s="254"/>
      <c r="F71" s="176"/>
      <c r="G71" s="255"/>
      <c r="H71" s="211"/>
      <c r="I71" s="211"/>
      <c r="J71" s="211"/>
      <c r="K71" s="176"/>
      <c r="L71" s="255"/>
      <c r="M71" s="255"/>
      <c r="N71" s="210"/>
      <c r="O71" s="211"/>
      <c r="P71" s="211"/>
      <c r="BD71" s="178"/>
      <c r="BE71" s="179"/>
      <c r="BF71" s="179"/>
      <c r="BG71" s="179"/>
      <c r="BH71" s="179"/>
      <c r="BI71" s="179"/>
      <c r="BJ71" s="178"/>
      <c r="BK71" s="178"/>
      <c r="BM71" s="294"/>
      <c r="BN71" s="294"/>
      <c r="BO71" s="294"/>
      <c r="BP71" s="294"/>
      <c r="BQ71" s="294"/>
      <c r="BR71" s="294"/>
      <c r="BS71" s="294"/>
      <c r="BT71" s="295"/>
    </row>
    <row r="72" spans="65:71">
      <c r="BM72" s="241"/>
      <c r="BN72" s="241"/>
      <c r="BO72" s="241"/>
      <c r="BP72" s="241"/>
      <c r="BQ72" s="241"/>
      <c r="BR72" s="241"/>
      <c r="BS72" s="241"/>
    </row>
    <row r="73" spans="65:71">
      <c r="BM73" s="241"/>
      <c r="BN73" s="241"/>
      <c r="BO73" s="241"/>
      <c r="BP73" s="241"/>
      <c r="BQ73" s="241"/>
      <c r="BR73" s="241"/>
      <c r="BS73" s="241"/>
    </row>
    <row r="74" spans="65:71">
      <c r="BM74" s="241"/>
      <c r="BN74" s="241"/>
      <c r="BO74" s="241"/>
      <c r="BP74" s="241"/>
      <c r="BQ74" s="241"/>
      <c r="BR74" s="241"/>
      <c r="BS74" s="241"/>
    </row>
    <row r="75" spans="65:71">
      <c r="BM75" s="241"/>
      <c r="BN75" s="241"/>
      <c r="BO75" s="241"/>
      <c r="BP75" s="241"/>
      <c r="BQ75" s="241"/>
      <c r="BR75" s="241"/>
      <c r="BS75" s="241"/>
    </row>
    <row r="76" ht="23.5" spans="2:71">
      <c r="B76" s="181" t="s">
        <v>99</v>
      </c>
      <c r="BM76" s="241"/>
      <c r="BN76" s="241"/>
      <c r="BO76" s="241"/>
      <c r="BP76" s="241"/>
      <c r="BQ76" s="241"/>
      <c r="BR76" s="241"/>
      <c r="BS76" s="241"/>
    </row>
    <row r="77" spans="65:71">
      <c r="BM77" s="241"/>
      <c r="BN77" s="241"/>
      <c r="BO77" s="241"/>
      <c r="BP77" s="241"/>
      <c r="BQ77" s="241"/>
      <c r="BR77" s="241"/>
      <c r="BS77" s="241"/>
    </row>
    <row r="78" spans="4:71">
      <c r="D78" s="256" t="s">
        <v>250</v>
      </c>
      <c r="E78" s="174" t="s">
        <v>100</v>
      </c>
      <c r="F78" s="257" t="s">
        <v>96</v>
      </c>
      <c r="G78" s="257" t="s">
        <v>21</v>
      </c>
      <c r="H78" s="51" t="s">
        <v>112</v>
      </c>
      <c r="I78" s="155" t="s">
        <v>101</v>
      </c>
      <c r="J78" s="155"/>
      <c r="O78" s="164"/>
      <c r="P78" s="165">
        <v>2023</v>
      </c>
      <c r="Q78" s="165">
        <v>2030</v>
      </c>
      <c r="R78" s="165">
        <v>2050</v>
      </c>
      <c r="BM78" s="241"/>
      <c r="BN78" s="241"/>
      <c r="BO78" s="241"/>
      <c r="BP78" s="241"/>
      <c r="BQ78" s="241"/>
      <c r="BR78" s="241"/>
      <c r="BS78" s="241"/>
    </row>
    <row r="79" spans="4:71">
      <c r="D79" s="256" t="s">
        <v>38</v>
      </c>
      <c r="E79" s="258">
        <f t="shared" ref="E79:E85" si="16">(E60*0.6+F60*0.4)*AL60/1000</f>
        <v>298.617282784857</v>
      </c>
      <c r="F79" s="259">
        <f t="shared" ref="F79:F85" si="17">(H60*0.6+I60*0.4)*AN60/1000</f>
        <v>793.111980320745</v>
      </c>
      <c r="G79" s="259">
        <f t="shared" ref="G79:G85" si="18">(K60*0.6+L60*0.4)*AQ60/1000</f>
        <v>844.417666083383</v>
      </c>
      <c r="H79" s="51"/>
      <c r="I79" s="155"/>
      <c r="J79" s="155"/>
      <c r="O79" s="166" t="s">
        <v>102</v>
      </c>
      <c r="P79" s="167"/>
      <c r="Q79" s="167"/>
      <c r="R79" s="167"/>
      <c r="BM79" s="241"/>
      <c r="BN79" s="241"/>
      <c r="BO79" s="241"/>
      <c r="BP79" s="241"/>
      <c r="BQ79" s="241"/>
      <c r="BR79" s="241"/>
      <c r="BS79" s="241"/>
    </row>
    <row r="80" spans="4:71">
      <c r="D80" s="256" t="s">
        <v>114</v>
      </c>
      <c r="E80" s="258">
        <f t="shared" si="16"/>
        <v>51.6595814252286</v>
      </c>
      <c r="F80" s="259">
        <f t="shared" si="17"/>
        <v>153.848510193726</v>
      </c>
      <c r="G80" s="259">
        <f t="shared" si="18"/>
        <v>258.709803412719</v>
      </c>
      <c r="H80" s="51"/>
      <c r="I80" s="155"/>
      <c r="J80" s="155"/>
      <c r="O80" s="168" t="s">
        <v>6</v>
      </c>
      <c r="P80" s="169">
        <v>750</v>
      </c>
      <c r="Q80" s="169">
        <v>480</v>
      </c>
      <c r="R80" s="169">
        <v>340</v>
      </c>
      <c r="BM80" s="241"/>
      <c r="BN80" s="241"/>
      <c r="BO80" s="241"/>
      <c r="BP80" s="241"/>
      <c r="BQ80" s="241"/>
      <c r="BR80" s="241"/>
      <c r="BS80" s="241"/>
    </row>
    <row r="81" spans="4:71">
      <c r="D81" s="256" t="s">
        <v>116</v>
      </c>
      <c r="E81" s="258">
        <f t="shared" si="16"/>
        <v>300.993887469119</v>
      </c>
      <c r="F81" s="259">
        <f t="shared" si="17"/>
        <v>1491.86606272059</v>
      </c>
      <c r="G81" s="259">
        <f t="shared" si="18"/>
        <v>1660.99244772993</v>
      </c>
      <c r="H81" s="51"/>
      <c r="I81" s="155"/>
      <c r="J81" s="155"/>
      <c r="O81" s="168" t="s">
        <v>7</v>
      </c>
      <c r="P81" s="169" t="s">
        <v>245</v>
      </c>
      <c r="Q81" s="169">
        <v>690</v>
      </c>
      <c r="R81" s="169">
        <v>480</v>
      </c>
      <c r="BM81" s="241"/>
      <c r="BN81" s="241"/>
      <c r="BO81" s="241"/>
      <c r="BP81" s="241"/>
      <c r="BQ81" s="241"/>
      <c r="BR81" s="241"/>
      <c r="BS81" s="241"/>
    </row>
    <row r="82" s="176" customFormat="1" spans="4:72">
      <c r="D82" s="260" t="s">
        <v>76</v>
      </c>
      <c r="E82" s="258">
        <f t="shared" si="16"/>
        <v>6.11544189675028</v>
      </c>
      <c r="F82" s="259">
        <f t="shared" si="17"/>
        <v>23.1203814137707</v>
      </c>
      <c r="G82" s="259">
        <f t="shared" si="18"/>
        <v>41.8627341829526</v>
      </c>
      <c r="I82" s="155"/>
      <c r="J82" s="155"/>
      <c r="O82" s="168" t="s">
        <v>8</v>
      </c>
      <c r="P82" s="169" t="s">
        <v>219</v>
      </c>
      <c r="Q82" s="169" t="s">
        <v>246</v>
      </c>
      <c r="R82" s="169">
        <v>940</v>
      </c>
      <c r="BD82" s="178"/>
      <c r="BE82" s="179"/>
      <c r="BF82" s="179"/>
      <c r="BG82" s="179"/>
      <c r="BH82" s="179"/>
      <c r="BI82" s="179"/>
      <c r="BJ82" s="178"/>
      <c r="BK82" s="178"/>
      <c r="BM82" s="297"/>
      <c r="BN82" s="297"/>
      <c r="BO82" s="297"/>
      <c r="BP82" s="297"/>
      <c r="BQ82" s="297"/>
      <c r="BR82" s="297"/>
      <c r="BS82" s="297"/>
      <c r="BT82" s="295"/>
    </row>
    <row r="83" s="176" customFormat="1" spans="4:72">
      <c r="D83" s="260" t="s">
        <v>118</v>
      </c>
      <c r="E83" s="258">
        <f t="shared" si="16"/>
        <v>1358.82135292962</v>
      </c>
      <c r="F83" s="259">
        <f t="shared" si="17"/>
        <v>7293.65386537779</v>
      </c>
      <c r="G83" s="259">
        <f t="shared" si="18"/>
        <v>7914.96277540691</v>
      </c>
      <c r="I83" s="155"/>
      <c r="J83" s="155"/>
      <c r="N83" s="279"/>
      <c r="O83" s="168" t="s">
        <v>9</v>
      </c>
      <c r="P83" s="169" t="s">
        <v>174</v>
      </c>
      <c r="Q83" s="169">
        <v>820</v>
      </c>
      <c r="R83" s="169">
        <v>580</v>
      </c>
      <c r="BD83" s="178"/>
      <c r="BE83" s="179"/>
      <c r="BF83" s="179"/>
      <c r="BG83" s="179"/>
      <c r="BH83" s="179"/>
      <c r="BI83" s="179"/>
      <c r="BJ83" s="178"/>
      <c r="BK83" s="178"/>
      <c r="BM83" s="297"/>
      <c r="BN83" s="297"/>
      <c r="BO83" s="297"/>
      <c r="BP83" s="297"/>
      <c r="BQ83" s="297"/>
      <c r="BR83" s="297"/>
      <c r="BS83" s="297"/>
      <c r="BT83" s="295"/>
    </row>
    <row r="84" s="176" customFormat="1" spans="4:72">
      <c r="D84" s="260" t="s">
        <v>119</v>
      </c>
      <c r="E84" s="261">
        <f t="shared" si="16"/>
        <v>10.6645</v>
      </c>
      <c r="F84" s="262">
        <f t="shared" si="17"/>
        <v>134.83278</v>
      </c>
      <c r="G84" s="262">
        <f t="shared" si="18"/>
        <v>239.539441947894</v>
      </c>
      <c r="I84" s="155" t="s">
        <v>119</v>
      </c>
      <c r="J84" s="280">
        <f>(H65*0.6+I65*0.4)*AN65/1000</f>
        <v>134.83278</v>
      </c>
      <c r="N84" s="279"/>
      <c r="O84" s="168" t="s">
        <v>10</v>
      </c>
      <c r="P84" s="169">
        <v>670</v>
      </c>
      <c r="Q84" s="169">
        <v>410</v>
      </c>
      <c r="R84" s="169">
        <v>280</v>
      </c>
      <c r="BD84" s="178"/>
      <c r="BE84" s="179"/>
      <c r="BF84" s="179"/>
      <c r="BG84" s="179"/>
      <c r="BH84" s="179"/>
      <c r="BI84" s="179"/>
      <c r="BJ84" s="178"/>
      <c r="BK84" s="178"/>
      <c r="BM84" s="297"/>
      <c r="BN84" s="297"/>
      <c r="BO84" s="297"/>
      <c r="BP84" s="297"/>
      <c r="BQ84" s="297"/>
      <c r="BR84" s="297"/>
      <c r="BS84" s="297"/>
      <c r="BT84" s="295"/>
    </row>
    <row r="85" s="176" customFormat="1" spans="4:72">
      <c r="D85" s="260" t="s">
        <v>121</v>
      </c>
      <c r="E85" s="261">
        <f t="shared" si="16"/>
        <v>26.0712</v>
      </c>
      <c r="F85" s="262">
        <f t="shared" si="17"/>
        <v>209.2419</v>
      </c>
      <c r="G85" s="262">
        <f t="shared" si="18"/>
        <v>425.309336692491</v>
      </c>
      <c r="I85" s="155" t="s">
        <v>121</v>
      </c>
      <c r="J85" s="280">
        <f>(H66*0.6+I66*0.4)*AN66/1000</f>
        <v>209.2419</v>
      </c>
      <c r="N85" s="279"/>
      <c r="O85" s="168" t="s">
        <v>11</v>
      </c>
      <c r="P85" s="169">
        <v>710</v>
      </c>
      <c r="Q85" s="169">
        <v>450</v>
      </c>
      <c r="R85" s="169">
        <v>300</v>
      </c>
      <c r="BD85" s="178"/>
      <c r="BE85" s="179"/>
      <c r="BF85" s="179"/>
      <c r="BG85" s="179"/>
      <c r="BH85" s="179"/>
      <c r="BI85" s="179"/>
      <c r="BJ85" s="178"/>
      <c r="BK85" s="178"/>
      <c r="BM85" s="297"/>
      <c r="BN85" s="297"/>
      <c r="BO85" s="297"/>
      <c r="BP85" s="297"/>
      <c r="BQ85" s="297"/>
      <c r="BR85" s="297"/>
      <c r="BS85" s="297"/>
      <c r="BT85" s="295"/>
    </row>
    <row r="86" s="176" customFormat="1" spans="4:72">
      <c r="D86" s="156" t="s">
        <v>87</v>
      </c>
      <c r="E86" s="157">
        <f>(E69*0.6+F69*0.4)*V46/1000</f>
        <v>2052.94324650558</v>
      </c>
      <c r="F86" s="157">
        <f>(H69*0.6+I69*0.4)*AA46/1000</f>
        <v>9924.67957272376</v>
      </c>
      <c r="G86" s="263">
        <f>(K69*0.6+L69*0.4)*AF46/1000</f>
        <v>11355.6335125344</v>
      </c>
      <c r="H86" s="157">
        <f>(N69*0.6+O69*0.4)*AK46/1000</f>
        <v>11947.1744895427</v>
      </c>
      <c r="I86" s="265"/>
      <c r="N86" s="279"/>
      <c r="O86" s="168" t="s">
        <v>12</v>
      </c>
      <c r="P86" s="169">
        <v>610</v>
      </c>
      <c r="Q86" s="169">
        <v>360</v>
      </c>
      <c r="R86" s="169">
        <v>250</v>
      </c>
      <c r="U86" s="169">
        <v>330</v>
      </c>
      <c r="V86" s="169">
        <v>220</v>
      </c>
      <c r="BD86" s="178"/>
      <c r="BE86" s="179"/>
      <c r="BF86" s="179"/>
      <c r="BG86" s="179"/>
      <c r="BH86" s="179"/>
      <c r="BI86" s="179"/>
      <c r="BJ86" s="178"/>
      <c r="BK86" s="178"/>
      <c r="BM86" s="297"/>
      <c r="BN86" s="297"/>
      <c r="BO86" s="297"/>
      <c r="BP86" s="297"/>
      <c r="BQ86" s="297"/>
      <c r="BR86" s="297"/>
      <c r="BS86" s="297"/>
      <c r="BT86" s="295"/>
    </row>
    <row r="87" s="176" customFormat="1" spans="4:72">
      <c r="D87" s="264"/>
      <c r="E87" s="265"/>
      <c r="F87" s="265"/>
      <c r="G87" s="203"/>
      <c r="H87" s="265"/>
      <c r="I87" s="265"/>
      <c r="N87" s="279"/>
      <c r="O87" s="168" t="s">
        <v>13</v>
      </c>
      <c r="P87" s="169" t="s">
        <v>247</v>
      </c>
      <c r="Q87" s="169">
        <v>820</v>
      </c>
      <c r="R87" s="169">
        <v>550</v>
      </c>
      <c r="U87" s="169">
        <v>760</v>
      </c>
      <c r="V87" s="169">
        <v>480</v>
      </c>
      <c r="BD87" s="178"/>
      <c r="BE87" s="179"/>
      <c r="BF87" s="179"/>
      <c r="BG87" s="179"/>
      <c r="BH87" s="179"/>
      <c r="BI87" s="179"/>
      <c r="BJ87" s="178"/>
      <c r="BK87" s="178"/>
      <c r="BM87" s="297"/>
      <c r="BN87" s="297"/>
      <c r="BO87" s="297"/>
      <c r="BP87" s="297"/>
      <c r="BQ87" s="297"/>
      <c r="BR87" s="297"/>
      <c r="BS87" s="297"/>
      <c r="BT87" s="295"/>
    </row>
    <row r="88" s="176" customFormat="1" spans="9:72">
      <c r="I88" s="265"/>
      <c r="N88" s="279"/>
      <c r="O88" s="170" t="s">
        <v>14</v>
      </c>
      <c r="P88" s="171">
        <v>730</v>
      </c>
      <c r="Q88" s="171">
        <v>460</v>
      </c>
      <c r="R88" s="171">
        <v>330</v>
      </c>
      <c r="BD88" s="178"/>
      <c r="BE88" s="179"/>
      <c r="BF88" s="179"/>
      <c r="BG88" s="179"/>
      <c r="BH88" s="179"/>
      <c r="BI88" s="179"/>
      <c r="BJ88" s="178"/>
      <c r="BK88" s="178"/>
      <c r="BM88" s="297"/>
      <c r="BN88" s="297"/>
      <c r="BO88" s="297"/>
      <c r="BP88" s="297"/>
      <c r="BQ88" s="297"/>
      <c r="BR88" s="297"/>
      <c r="BS88" s="297"/>
      <c r="BT88" s="295"/>
    </row>
    <row r="89" s="176" customFormat="1" spans="4:72">
      <c r="D89" s="266"/>
      <c r="E89" s="267"/>
      <c r="F89" s="267"/>
      <c r="G89" s="203"/>
      <c r="H89" s="267"/>
      <c r="I89" s="267"/>
      <c r="N89" s="279"/>
      <c r="O89" s="166" t="s">
        <v>104</v>
      </c>
      <c r="P89" s="167"/>
      <c r="Q89" s="167"/>
      <c r="R89" s="167"/>
      <c r="BD89" s="178"/>
      <c r="BE89" s="179"/>
      <c r="BF89" s="179"/>
      <c r="BG89" s="179"/>
      <c r="BH89" s="179"/>
      <c r="BI89" s="179"/>
      <c r="BJ89" s="178"/>
      <c r="BK89" s="178"/>
      <c r="BM89" s="297"/>
      <c r="BN89" s="297"/>
      <c r="BO89" s="297"/>
      <c r="BP89" s="297"/>
      <c r="BQ89" s="297"/>
      <c r="BR89" s="297"/>
      <c r="BS89" s="297"/>
      <c r="BT89" s="295"/>
    </row>
    <row r="90" s="176" customFormat="1" spans="5:72">
      <c r="E90" s="268"/>
      <c r="O90" s="168" t="s">
        <v>6</v>
      </c>
      <c r="P90" s="169">
        <v>990</v>
      </c>
      <c r="Q90" s="169">
        <v>650</v>
      </c>
      <c r="R90" s="169">
        <v>470</v>
      </c>
      <c r="BD90" s="178"/>
      <c r="BE90" s="179"/>
      <c r="BF90" s="179"/>
      <c r="BG90" s="179"/>
      <c r="BH90" s="179"/>
      <c r="BI90" s="179"/>
      <c r="BJ90" s="178"/>
      <c r="BK90" s="178"/>
      <c r="BM90" s="297"/>
      <c r="BN90" s="297"/>
      <c r="BO90" s="297"/>
      <c r="BP90" s="297"/>
      <c r="BQ90" s="297"/>
      <c r="BR90" s="297"/>
      <c r="BS90" s="297"/>
      <c r="BT90" s="295"/>
    </row>
    <row r="91" s="176" customFormat="1" spans="5:72">
      <c r="E91" s="268"/>
      <c r="O91" s="168" t="s">
        <v>7</v>
      </c>
      <c r="P91" s="169" t="s">
        <v>136</v>
      </c>
      <c r="Q91" s="169" t="s">
        <v>137</v>
      </c>
      <c r="R91" s="169" t="s">
        <v>138</v>
      </c>
      <c r="BD91" s="178"/>
      <c r="BE91" s="179"/>
      <c r="BF91" s="179"/>
      <c r="BG91" s="179"/>
      <c r="BH91" s="179"/>
      <c r="BI91" s="179"/>
      <c r="BJ91" s="178"/>
      <c r="BK91" s="178"/>
      <c r="BM91" s="297"/>
      <c r="BN91" s="297"/>
      <c r="BO91" s="297"/>
      <c r="BP91" s="297"/>
      <c r="BQ91" s="297"/>
      <c r="BR91" s="297"/>
      <c r="BS91" s="297"/>
      <c r="BT91" s="295"/>
    </row>
    <row r="92" spans="15:71">
      <c r="O92" s="168" t="s">
        <v>8</v>
      </c>
      <c r="P92" s="169" t="s">
        <v>141</v>
      </c>
      <c r="Q92" s="169" t="s">
        <v>142</v>
      </c>
      <c r="R92" s="169">
        <v>990</v>
      </c>
      <c r="BM92" s="241"/>
      <c r="BN92" s="241"/>
      <c r="BO92" s="241"/>
      <c r="BP92" s="241"/>
      <c r="BQ92" s="241"/>
      <c r="BR92" s="241"/>
      <c r="BS92" s="241"/>
    </row>
    <row r="93" spans="4:71">
      <c r="D93" s="173" t="s">
        <v>248</v>
      </c>
      <c r="E93" s="269">
        <f t="shared" ref="E93:E99" si="19">(E60*0.5+F60*0.5)*AL60/1000-E79</f>
        <v>11.3585389549698</v>
      </c>
      <c r="F93" s="270">
        <f>(H60*0.5+I60*0.5)*AN60/1000-F79</f>
        <v>30.1676890236015</v>
      </c>
      <c r="G93" s="270">
        <f>(K60*0.5+L60*0.5)*AQ60/1000-G79</f>
        <v>32.1192091262279</v>
      </c>
      <c r="O93" s="168" t="s">
        <v>9</v>
      </c>
      <c r="P93" s="169" t="s">
        <v>139</v>
      </c>
      <c r="Q93" s="169" t="s">
        <v>140</v>
      </c>
      <c r="R93" s="169">
        <v>780</v>
      </c>
      <c r="BM93" s="241"/>
      <c r="BN93" s="241"/>
      <c r="BO93" s="241"/>
      <c r="BP93" s="241"/>
      <c r="BQ93" s="241"/>
      <c r="BR93" s="241"/>
      <c r="BS93" s="241"/>
    </row>
    <row r="94" spans="4:71">
      <c r="D94" s="173"/>
      <c r="E94" s="269">
        <f t="shared" si="19"/>
        <v>-2.82979690420477</v>
      </c>
      <c r="F94" s="270">
        <f t="shared" ref="F94:F99" si="20">(H61*0.5+I61*0.5)*AN61/1000-F80</f>
        <v>-8.42747900489388</v>
      </c>
      <c r="G94" s="270">
        <f t="shared" ref="G94:G99" si="21">(K61*0.5+L61*0.5)*AQ61/1000-G80</f>
        <v>-14.1715472829442</v>
      </c>
      <c r="O94" s="168" t="s">
        <v>10</v>
      </c>
      <c r="P94" s="169">
        <v>750</v>
      </c>
      <c r="Q94" s="169">
        <v>450</v>
      </c>
      <c r="R94" s="169">
        <v>310</v>
      </c>
      <c r="BM94" s="241"/>
      <c r="BN94" s="241"/>
      <c r="BO94" s="241"/>
      <c r="BP94" s="241"/>
      <c r="BQ94" s="241"/>
      <c r="BR94" s="241"/>
      <c r="BS94" s="241"/>
    </row>
    <row r="95" spans="4:71">
      <c r="D95" s="173"/>
      <c r="E95" s="269">
        <f t="shared" si="19"/>
        <v>19.927079804867</v>
      </c>
      <c r="F95" s="270">
        <f t="shared" si="20"/>
        <v>98.7678997071196</v>
      </c>
      <c r="G95" s="270">
        <f t="shared" si="21"/>
        <v>109.964788120793</v>
      </c>
      <c r="O95" s="168" t="s">
        <v>11</v>
      </c>
      <c r="P95" s="169">
        <v>780</v>
      </c>
      <c r="Q95" s="169">
        <v>490</v>
      </c>
      <c r="R95" s="169">
        <v>330</v>
      </c>
      <c r="BM95" s="241"/>
      <c r="BN95" s="241"/>
      <c r="BO95" s="241"/>
      <c r="BP95" s="241"/>
      <c r="BQ95" s="241"/>
      <c r="BR95" s="241"/>
      <c r="BS95" s="241"/>
    </row>
    <row r="96" spans="4:71">
      <c r="D96" s="173"/>
      <c r="E96" s="271">
        <f t="shared" si="19"/>
        <v>0.24192635054162</v>
      </c>
      <c r="F96" s="270">
        <f t="shared" si="20"/>
        <v>0.914640281601923</v>
      </c>
      <c r="G96" s="270">
        <f t="shared" si="21"/>
        <v>1.65608613008938</v>
      </c>
      <c r="O96" s="168" t="s">
        <v>12</v>
      </c>
      <c r="P96" s="169" t="s">
        <v>213</v>
      </c>
      <c r="Q96" s="169">
        <v>580</v>
      </c>
      <c r="R96" s="169">
        <v>390</v>
      </c>
      <c r="U96" s="169">
        <v>530</v>
      </c>
      <c r="V96" s="169">
        <v>340</v>
      </c>
      <c r="BM96" s="241"/>
      <c r="BN96" s="241"/>
      <c r="BO96" s="241"/>
      <c r="BP96" s="241"/>
      <c r="BQ96" s="241"/>
      <c r="BR96" s="241"/>
      <c r="BS96" s="241"/>
    </row>
    <row r="97" spans="4:71">
      <c r="D97" s="173"/>
      <c r="E97" s="269">
        <f t="shared" si="19"/>
        <v>42.6321044268586</v>
      </c>
      <c r="F97" s="270">
        <f t="shared" si="20"/>
        <v>228.833475844158</v>
      </c>
      <c r="G97" s="270">
        <f t="shared" si="21"/>
        <v>248.326624282392</v>
      </c>
      <c r="O97" s="168" t="s">
        <v>13</v>
      </c>
      <c r="P97" s="169" t="s">
        <v>249</v>
      </c>
      <c r="Q97" s="169" t="s">
        <v>161</v>
      </c>
      <c r="R97" s="169">
        <v>750</v>
      </c>
      <c r="U97" s="169">
        <v>950</v>
      </c>
      <c r="V97" s="169">
        <v>620</v>
      </c>
      <c r="BM97" s="241"/>
      <c r="BN97" s="241"/>
      <c r="BO97" s="241"/>
      <c r="BP97" s="241"/>
      <c r="BQ97" s="241"/>
      <c r="BR97" s="241"/>
      <c r="BS97" s="241"/>
    </row>
    <row r="98" spans="4:71">
      <c r="D98" s="173"/>
      <c r="E98" s="272">
        <f t="shared" si="19"/>
        <v>0.554</v>
      </c>
      <c r="F98" s="270">
        <f t="shared" si="20"/>
        <v>6.16882000000001</v>
      </c>
      <c r="G98" s="270">
        <f t="shared" si="21"/>
        <v>10.9593208734331</v>
      </c>
      <c r="BM98" s="241"/>
      <c r="BN98" s="241"/>
      <c r="BO98" s="241"/>
      <c r="BP98" s="241"/>
      <c r="BQ98" s="241"/>
      <c r="BR98" s="241"/>
      <c r="BS98" s="241"/>
    </row>
    <row r="99" spans="4:71">
      <c r="D99" s="173"/>
      <c r="E99" s="272">
        <f t="shared" si="19"/>
        <v>0.852</v>
      </c>
      <c r="F99" s="270">
        <f t="shared" si="20"/>
        <v>6.64260000000002</v>
      </c>
      <c r="G99" s="270">
        <f t="shared" si="21"/>
        <v>13.5018837045236</v>
      </c>
      <c r="BM99" s="241"/>
      <c r="BN99" s="241"/>
      <c r="BO99" s="241"/>
      <c r="BP99" s="241"/>
      <c r="BQ99" s="241"/>
      <c r="BR99" s="241"/>
      <c r="BS99" s="241"/>
    </row>
    <row r="100" spans="4:71">
      <c r="D100" s="173" t="s">
        <v>87</v>
      </c>
      <c r="E100" s="269">
        <f t="shared" ref="E100" si="22">(E69*0.5+F69*0.5)*V46/1000-E86</f>
        <v>72.7358526330322</v>
      </c>
      <c r="F100" s="270">
        <f>(H69*0.5+I69*0.5)*AA46/1000-F86</f>
        <v>351.631752149238</v>
      </c>
      <c r="G100" s="270">
        <f>(K69*0.5+L69*0.5)*AF46/1000-G86</f>
        <v>402.330501404917</v>
      </c>
      <c r="H100" s="270">
        <f>(N69*0.5+O69*0.5)*AK46/1000-H86</f>
        <v>423.288819372699</v>
      </c>
      <c r="BM100" s="241"/>
      <c r="BN100" s="241"/>
      <c r="BO100" s="241"/>
      <c r="BP100" s="241"/>
      <c r="BQ100" s="241"/>
      <c r="BR100" s="241"/>
      <c r="BS100" s="241"/>
    </row>
    <row r="101" spans="65:71">
      <c r="BM101" s="241"/>
      <c r="BN101" s="241"/>
      <c r="BO101" s="241"/>
      <c r="BP101" s="241"/>
      <c r="BQ101" s="241"/>
      <c r="BR101" s="241"/>
      <c r="BS101" s="241"/>
    </row>
    <row r="102" ht="18.5" spans="10:71">
      <c r="J102" s="281"/>
      <c r="K102" s="282" t="s">
        <v>131</v>
      </c>
      <c r="L102" s="282"/>
      <c r="M102" s="282"/>
      <c r="N102" s="282"/>
      <c r="O102" s="282"/>
      <c r="P102" s="282"/>
      <c r="Q102" s="282" t="s">
        <v>132</v>
      </c>
      <c r="R102" s="282"/>
      <c r="S102" s="282"/>
      <c r="T102" s="282"/>
      <c r="U102" s="282"/>
      <c r="V102" s="282"/>
      <c r="BM102" s="241"/>
      <c r="BN102" s="241"/>
      <c r="BO102" s="241"/>
      <c r="BP102" s="241"/>
      <c r="BQ102" s="241"/>
      <c r="BR102" s="241"/>
      <c r="BS102" s="241"/>
    </row>
    <row r="103" spans="4:71">
      <c r="D103" s="173" t="s">
        <v>105</v>
      </c>
      <c r="E103" s="272">
        <f t="shared" ref="E103:G103" si="23">E93*2</f>
        <v>22.7170779099396</v>
      </c>
      <c r="F103" s="272">
        <f t="shared" si="23"/>
        <v>60.335378047203</v>
      </c>
      <c r="G103" s="272">
        <f t="shared" si="23"/>
        <v>64.2384182524559</v>
      </c>
      <c r="J103" s="283" t="s">
        <v>116</v>
      </c>
      <c r="K103" s="284">
        <f>F145</f>
        <v>592.607398242717</v>
      </c>
      <c r="L103" s="284">
        <f>F135</f>
        <v>493.839498535598</v>
      </c>
      <c r="M103" s="284">
        <f>F125</f>
        <v>395.071598828478</v>
      </c>
      <c r="N103" s="284">
        <f>F115</f>
        <v>296.303699121359</v>
      </c>
      <c r="O103" s="284">
        <f>F105</f>
        <v>197.535799414239</v>
      </c>
      <c r="P103" s="285">
        <f>F95</f>
        <v>98.7678997071196</v>
      </c>
      <c r="Q103" s="287">
        <f>G145</f>
        <v>659.78872872476</v>
      </c>
      <c r="R103" s="287">
        <f>G135</f>
        <v>549.823940603967</v>
      </c>
      <c r="S103" s="287">
        <f>G125</f>
        <v>439.859152483174</v>
      </c>
      <c r="T103" s="287">
        <f>G115</f>
        <v>329.89436436238</v>
      </c>
      <c r="U103" s="287">
        <f>G105</f>
        <v>219.929576241587</v>
      </c>
      <c r="V103" s="288">
        <f>G95</f>
        <v>109.964788120793</v>
      </c>
      <c r="BM103" s="241"/>
      <c r="BN103" s="241"/>
      <c r="BO103" s="241"/>
      <c r="BP103" s="241"/>
      <c r="BQ103" s="241"/>
      <c r="BR103" s="241"/>
      <c r="BS103" s="241"/>
    </row>
    <row r="104" spans="4:71">
      <c r="D104" s="173"/>
      <c r="E104" s="272">
        <f t="shared" ref="E104:G104" si="24">E94*2</f>
        <v>-5.65959380840954</v>
      </c>
      <c r="F104" s="272">
        <f t="shared" si="24"/>
        <v>-16.8549580097878</v>
      </c>
      <c r="G104" s="272">
        <f t="shared" si="24"/>
        <v>-28.3430945658885</v>
      </c>
      <c r="J104" s="283" t="s">
        <v>114</v>
      </c>
      <c r="K104" s="284">
        <f>F144</f>
        <v>-50.5648740293633</v>
      </c>
      <c r="L104" s="284">
        <f>F134</f>
        <v>-42.1373950244694</v>
      </c>
      <c r="M104" s="284">
        <f>F124</f>
        <v>-33.7099160195755</v>
      </c>
      <c r="N104" s="284">
        <f>F114</f>
        <v>-25.2824370146816</v>
      </c>
      <c r="O104" s="284">
        <f>F104</f>
        <v>-16.8549580097878</v>
      </c>
      <c r="P104" s="285">
        <f>F94</f>
        <v>-8.42747900489388</v>
      </c>
      <c r="Q104" s="287">
        <f>G144</f>
        <v>-85.0292836976654</v>
      </c>
      <c r="R104" s="287">
        <f>G134</f>
        <v>-70.8577364147212</v>
      </c>
      <c r="S104" s="287">
        <f>G124</f>
        <v>-56.6861891317769</v>
      </c>
      <c r="T104" s="287">
        <f>G114</f>
        <v>-42.5146418488327</v>
      </c>
      <c r="U104" s="287">
        <f>G104</f>
        <v>-28.3430945658885</v>
      </c>
      <c r="V104" s="288">
        <f>G94</f>
        <v>-14.1715472829442</v>
      </c>
      <c r="BM104" s="241"/>
      <c r="BN104" s="241"/>
      <c r="BO104" s="241"/>
      <c r="BP104" s="241"/>
      <c r="BQ104" s="241"/>
      <c r="BR104" s="241"/>
      <c r="BS104" s="241"/>
    </row>
    <row r="105" spans="4:22">
      <c r="D105" s="173"/>
      <c r="E105" s="272">
        <f t="shared" ref="E105:G105" si="25">E95*2</f>
        <v>39.8541596097341</v>
      </c>
      <c r="F105" s="272">
        <f t="shared" si="25"/>
        <v>197.535799414239</v>
      </c>
      <c r="G105" s="272">
        <f t="shared" si="25"/>
        <v>219.929576241587</v>
      </c>
      <c r="J105" s="283" t="s">
        <v>38</v>
      </c>
      <c r="K105" s="284">
        <f>F143</f>
        <v>181.006134141609</v>
      </c>
      <c r="L105" s="284">
        <f>F133</f>
        <v>150.838445118007</v>
      </c>
      <c r="M105" s="284">
        <f>F123</f>
        <v>120.670756094406</v>
      </c>
      <c r="N105" s="284">
        <f>F113</f>
        <v>90.5030670708045</v>
      </c>
      <c r="O105" s="284">
        <f>F103</f>
        <v>60.335378047203</v>
      </c>
      <c r="P105" s="285">
        <f>F93</f>
        <v>30.1676890236015</v>
      </c>
      <c r="Q105" s="287">
        <f>G143</f>
        <v>192.715254757368</v>
      </c>
      <c r="R105" s="287">
        <f>G133</f>
        <v>160.59604563114</v>
      </c>
      <c r="S105" s="287">
        <f>G123</f>
        <v>128.476836504912</v>
      </c>
      <c r="T105" s="287">
        <f>G113</f>
        <v>96.3576273786838</v>
      </c>
      <c r="U105" s="287">
        <f>G103</f>
        <v>64.2384182524559</v>
      </c>
      <c r="V105" s="288">
        <f>G93</f>
        <v>32.1192091262279</v>
      </c>
    </row>
    <row r="106" spans="4:22">
      <c r="D106" s="173"/>
      <c r="E106" s="272">
        <f t="shared" ref="E106:G106" si="26">E96*2</f>
        <v>0.48385270108324</v>
      </c>
      <c r="F106" s="272">
        <f t="shared" si="26"/>
        <v>1.82928056320385</v>
      </c>
      <c r="G106" s="272">
        <f t="shared" si="26"/>
        <v>3.31217226017877</v>
      </c>
      <c r="J106" s="286" t="s">
        <v>121</v>
      </c>
      <c r="K106" s="284">
        <f>F149</f>
        <v>39.8556000000001</v>
      </c>
      <c r="L106" s="284">
        <f>F139</f>
        <v>33.2130000000001</v>
      </c>
      <c r="M106" s="284">
        <f>F129</f>
        <v>26.5704000000001</v>
      </c>
      <c r="N106" s="284">
        <f>F119</f>
        <v>19.9278</v>
      </c>
      <c r="O106" s="284">
        <f>F109</f>
        <v>13.2852</v>
      </c>
      <c r="P106" s="285">
        <f>F99</f>
        <v>6.64260000000002</v>
      </c>
      <c r="Q106" s="287">
        <f>G149</f>
        <v>81.0113022271416</v>
      </c>
      <c r="R106" s="287">
        <f>G139</f>
        <v>67.509418522618</v>
      </c>
      <c r="S106" s="287">
        <f>G129</f>
        <v>54.0075348180944</v>
      </c>
      <c r="T106" s="287">
        <f>G119</f>
        <v>40.5056511135708</v>
      </c>
      <c r="U106" s="287">
        <f>G109</f>
        <v>27.0037674090472</v>
      </c>
      <c r="V106" s="288">
        <f>G99</f>
        <v>13.5018837045236</v>
      </c>
    </row>
    <row r="107" spans="4:22">
      <c r="D107" s="173"/>
      <c r="E107" s="272">
        <f t="shared" ref="E107:G107" si="27">E97*2</f>
        <v>85.2642088537173</v>
      </c>
      <c r="F107" s="272">
        <f t="shared" si="27"/>
        <v>457.666951688316</v>
      </c>
      <c r="G107" s="272">
        <f t="shared" si="27"/>
        <v>496.653248564784</v>
      </c>
      <c r="J107" s="286" t="s">
        <v>119</v>
      </c>
      <c r="K107" s="284">
        <f>F148</f>
        <v>37.0129200000001</v>
      </c>
      <c r="L107" s="284">
        <f>F138</f>
        <v>30.8441000000001</v>
      </c>
      <c r="M107" s="284">
        <f>F128</f>
        <v>24.67528</v>
      </c>
      <c r="N107" s="284">
        <f>F118</f>
        <v>18.50646</v>
      </c>
      <c r="O107" s="284">
        <f>F108</f>
        <v>12.33764</v>
      </c>
      <c r="P107" s="285">
        <f>F98</f>
        <v>6.16882000000001</v>
      </c>
      <c r="Q107" s="287">
        <f>G148</f>
        <v>65.7559252405983</v>
      </c>
      <c r="R107" s="287">
        <f>G138</f>
        <v>54.7966043671653</v>
      </c>
      <c r="S107" s="287">
        <f>G128</f>
        <v>43.8372834937322</v>
      </c>
      <c r="T107" s="287">
        <f>G118</f>
        <v>32.8779626202992</v>
      </c>
      <c r="U107" s="287">
        <f>G108</f>
        <v>21.9186417468661</v>
      </c>
      <c r="V107" s="288">
        <f>G98</f>
        <v>10.9593208734331</v>
      </c>
    </row>
    <row r="108" spans="4:22">
      <c r="D108" s="173"/>
      <c r="E108" s="272">
        <f t="shared" ref="E108:G108" si="28">E98*2</f>
        <v>1.108</v>
      </c>
      <c r="F108" s="272">
        <f t="shared" si="28"/>
        <v>12.33764</v>
      </c>
      <c r="G108" s="272">
        <f t="shared" si="28"/>
        <v>21.9186417468661</v>
      </c>
      <c r="J108" s="286" t="s">
        <v>76</v>
      </c>
      <c r="K108" s="284">
        <f>F146</f>
        <v>5.48784168961154</v>
      </c>
      <c r="L108" s="284">
        <f>F136</f>
        <v>4.57320140800961</v>
      </c>
      <c r="M108" s="284">
        <f>F126</f>
        <v>3.65856112640769</v>
      </c>
      <c r="N108" s="284">
        <f>F116</f>
        <v>2.74392084480577</v>
      </c>
      <c r="O108" s="284">
        <f>F106</f>
        <v>1.82928056320385</v>
      </c>
      <c r="P108" s="285">
        <f>F96</f>
        <v>0.914640281601923</v>
      </c>
      <c r="Q108" s="287">
        <f>G146</f>
        <v>9.93651678053631</v>
      </c>
      <c r="R108" s="287">
        <f>G136</f>
        <v>8.28043065044692</v>
      </c>
      <c r="S108" s="287">
        <f>G126</f>
        <v>6.62434452035754</v>
      </c>
      <c r="T108" s="287">
        <f>G116</f>
        <v>4.96825839026815</v>
      </c>
      <c r="U108" s="287">
        <f>G106</f>
        <v>3.31217226017877</v>
      </c>
      <c r="V108" s="288">
        <f>G96</f>
        <v>1.65608613008938</v>
      </c>
    </row>
    <row r="109" spans="4:22">
      <c r="D109" s="173"/>
      <c r="E109" s="272">
        <f t="shared" ref="E109:G109" si="29">E99*2</f>
        <v>1.704</v>
      </c>
      <c r="F109" s="272">
        <f t="shared" si="29"/>
        <v>13.2852</v>
      </c>
      <c r="G109" s="272">
        <f t="shared" si="29"/>
        <v>27.0037674090472</v>
      </c>
      <c r="J109" s="286" t="s">
        <v>118</v>
      </c>
      <c r="K109" s="284">
        <f>F147</f>
        <v>1373.00085506495</v>
      </c>
      <c r="L109" s="284">
        <f>F137</f>
        <v>1144.16737922079</v>
      </c>
      <c r="M109" s="284">
        <f>F127</f>
        <v>915.333903376631</v>
      </c>
      <c r="N109" s="284">
        <f>F117</f>
        <v>686.500427532474</v>
      </c>
      <c r="O109" s="284">
        <f>F107</f>
        <v>457.666951688316</v>
      </c>
      <c r="P109" s="285">
        <f>F97</f>
        <v>228.833475844158</v>
      </c>
      <c r="Q109" s="287">
        <f>G147</f>
        <v>1489.95974569435</v>
      </c>
      <c r="R109" s="287">
        <f>G137</f>
        <v>1241.63312141196</v>
      </c>
      <c r="S109" s="287">
        <f>G127</f>
        <v>993.306497129568</v>
      </c>
      <c r="T109" s="287">
        <f>G117</f>
        <v>744.979872847176</v>
      </c>
      <c r="U109" s="287">
        <f>G107</f>
        <v>496.653248564784</v>
      </c>
      <c r="V109" s="288">
        <f>G97</f>
        <v>248.326624282392</v>
      </c>
    </row>
    <row r="110" spans="4:22">
      <c r="D110" s="173"/>
      <c r="E110" s="272">
        <f t="shared" ref="E110:H110" si="30">E100*2</f>
        <v>145.471705266064</v>
      </c>
      <c r="F110" s="273">
        <f t="shared" si="30"/>
        <v>703.263504298477</v>
      </c>
      <c r="G110" s="272">
        <f t="shared" si="30"/>
        <v>804.661002809833</v>
      </c>
      <c r="H110" s="272">
        <f t="shared" si="30"/>
        <v>846.577638745399</v>
      </c>
      <c r="J110" s="283" t="s">
        <v>87</v>
      </c>
      <c r="K110" s="284">
        <f>F150</f>
        <v>2109.79051289543</v>
      </c>
      <c r="L110" s="284">
        <f>F140</f>
        <v>1758.15876074619</v>
      </c>
      <c r="M110" s="284">
        <f>F130</f>
        <v>1406.52700859695</v>
      </c>
      <c r="N110" s="284">
        <f>F120</f>
        <v>1054.89525644771</v>
      </c>
      <c r="O110" s="284">
        <f>F110</f>
        <v>703.263504298477</v>
      </c>
      <c r="P110" s="285">
        <f>F100</f>
        <v>351.631752149238</v>
      </c>
      <c r="Q110" s="287">
        <f>G150</f>
        <v>2413.9830084295</v>
      </c>
      <c r="R110" s="287">
        <f>G140</f>
        <v>2011.65250702458</v>
      </c>
      <c r="S110" s="287">
        <f>G130</f>
        <v>1609.32200561967</v>
      </c>
      <c r="T110" s="287">
        <f>G120</f>
        <v>1206.99150421475</v>
      </c>
      <c r="U110" s="287">
        <f>G110</f>
        <v>804.661002809833</v>
      </c>
      <c r="V110" s="288">
        <f>G100</f>
        <v>402.330501404917</v>
      </c>
    </row>
    <row r="113" spans="4:7">
      <c r="D113" s="173" t="s">
        <v>106</v>
      </c>
      <c r="E113" s="272">
        <f t="shared" ref="E113:G113" si="31">E93*3</f>
        <v>34.0756168649094</v>
      </c>
      <c r="F113" s="272">
        <f t="shared" si="31"/>
        <v>90.5030670708045</v>
      </c>
      <c r="G113" s="272">
        <f t="shared" si="31"/>
        <v>96.3576273786838</v>
      </c>
    </row>
    <row r="114" spans="4:7">
      <c r="D114" s="173"/>
      <c r="E114" s="272">
        <f t="shared" ref="E114:G114" si="32">E94*3</f>
        <v>-8.48939071261431</v>
      </c>
      <c r="F114" s="272">
        <f t="shared" si="32"/>
        <v>-25.2824370146816</v>
      </c>
      <c r="G114" s="272">
        <f t="shared" si="32"/>
        <v>-42.5146418488327</v>
      </c>
    </row>
    <row r="115" spans="4:7">
      <c r="D115" s="173"/>
      <c r="E115" s="272">
        <f t="shared" ref="E115:G115" si="33">E95*3</f>
        <v>59.7812394146011</v>
      </c>
      <c r="F115" s="272">
        <f t="shared" si="33"/>
        <v>296.303699121359</v>
      </c>
      <c r="G115" s="272">
        <f t="shared" si="33"/>
        <v>329.89436436238</v>
      </c>
    </row>
    <row r="116" spans="4:7">
      <c r="D116" s="173"/>
      <c r="E116" s="272">
        <f t="shared" ref="E116:G116" si="34">E96*3</f>
        <v>0.72577905162486</v>
      </c>
      <c r="F116" s="272">
        <f t="shared" si="34"/>
        <v>2.74392084480577</v>
      </c>
      <c r="G116" s="272">
        <f t="shared" si="34"/>
        <v>4.96825839026815</v>
      </c>
    </row>
    <row r="117" spans="4:7">
      <c r="D117" s="173"/>
      <c r="E117" s="272">
        <f t="shared" ref="E117:G117" si="35">E97*3</f>
        <v>127.896313280576</v>
      </c>
      <c r="F117" s="272">
        <f t="shared" si="35"/>
        <v>686.500427532474</v>
      </c>
      <c r="G117" s="272">
        <f t="shared" si="35"/>
        <v>744.979872847176</v>
      </c>
    </row>
    <row r="118" spans="4:7">
      <c r="D118" s="173"/>
      <c r="E118" s="272">
        <f t="shared" ref="E118:G118" si="36">E98*3</f>
        <v>1.662</v>
      </c>
      <c r="F118" s="272">
        <f t="shared" si="36"/>
        <v>18.50646</v>
      </c>
      <c r="G118" s="272">
        <f t="shared" si="36"/>
        <v>32.8779626202992</v>
      </c>
    </row>
    <row r="119" spans="4:7">
      <c r="D119" s="173"/>
      <c r="E119" s="272">
        <f t="shared" ref="E119:G119" si="37">E99*3</f>
        <v>2.556</v>
      </c>
      <c r="F119" s="272">
        <f t="shared" si="37"/>
        <v>19.9278</v>
      </c>
      <c r="G119" s="272">
        <f t="shared" si="37"/>
        <v>40.5056511135708</v>
      </c>
    </row>
    <row r="120" spans="4:8">
      <c r="D120" s="173"/>
      <c r="E120" s="272">
        <f t="shared" ref="E120:H120" si="38">E100*3</f>
        <v>218.207557899097</v>
      </c>
      <c r="F120" s="272">
        <f t="shared" si="38"/>
        <v>1054.89525644771</v>
      </c>
      <c r="G120" s="272">
        <f t="shared" si="38"/>
        <v>1206.99150421475</v>
      </c>
      <c r="H120" s="272">
        <f t="shared" si="38"/>
        <v>1269.8664581181</v>
      </c>
    </row>
    <row r="123" spans="4:7">
      <c r="D123" s="173" t="s">
        <v>107</v>
      </c>
      <c r="E123" s="272">
        <f t="shared" ref="E123:G123" si="39">E93*4</f>
        <v>45.4341558198792</v>
      </c>
      <c r="F123" s="272">
        <f t="shared" si="39"/>
        <v>120.670756094406</v>
      </c>
      <c r="G123" s="272">
        <f t="shared" si="39"/>
        <v>128.476836504912</v>
      </c>
    </row>
    <row r="124" spans="4:7">
      <c r="D124" s="173"/>
      <c r="E124" s="272">
        <f t="shared" ref="E124:G124" si="40">E94*4</f>
        <v>-11.3191876168191</v>
      </c>
      <c r="F124" s="272">
        <f t="shared" si="40"/>
        <v>-33.7099160195755</v>
      </c>
      <c r="G124" s="272">
        <f t="shared" si="40"/>
        <v>-56.6861891317769</v>
      </c>
    </row>
    <row r="125" spans="4:7">
      <c r="D125" s="173"/>
      <c r="E125" s="272">
        <f t="shared" ref="E125:G125" si="41">E95*4</f>
        <v>79.7083192194682</v>
      </c>
      <c r="F125" s="272">
        <f t="shared" si="41"/>
        <v>395.071598828478</v>
      </c>
      <c r="G125" s="272">
        <f t="shared" si="41"/>
        <v>439.859152483174</v>
      </c>
    </row>
    <row r="126" spans="4:7">
      <c r="D126" s="173"/>
      <c r="E126" s="272">
        <f t="shared" ref="E126:G126" si="42">E96*4</f>
        <v>0.96770540216648</v>
      </c>
      <c r="F126" s="272">
        <f t="shared" si="42"/>
        <v>3.65856112640769</v>
      </c>
      <c r="G126" s="272">
        <f t="shared" si="42"/>
        <v>6.62434452035754</v>
      </c>
    </row>
    <row r="127" spans="4:7">
      <c r="D127" s="173"/>
      <c r="E127" s="272">
        <f t="shared" ref="E127:G127" si="43">E97*4</f>
        <v>170.528417707435</v>
      </c>
      <c r="F127" s="272">
        <f t="shared" si="43"/>
        <v>915.333903376631</v>
      </c>
      <c r="G127" s="272">
        <f t="shared" si="43"/>
        <v>993.306497129568</v>
      </c>
    </row>
    <row r="128" spans="4:7">
      <c r="D128" s="173"/>
      <c r="E128" s="272">
        <f t="shared" ref="E128:G128" si="44">E98*4</f>
        <v>2.216</v>
      </c>
      <c r="F128" s="272">
        <f t="shared" si="44"/>
        <v>24.67528</v>
      </c>
      <c r="G128" s="272">
        <f t="shared" si="44"/>
        <v>43.8372834937322</v>
      </c>
    </row>
    <row r="129" spans="4:7">
      <c r="D129" s="173"/>
      <c r="E129" s="272">
        <f t="shared" ref="E129:G129" si="45">E99*4</f>
        <v>3.408</v>
      </c>
      <c r="F129" s="272">
        <f t="shared" si="45"/>
        <v>26.5704000000001</v>
      </c>
      <c r="G129" s="272">
        <f t="shared" si="45"/>
        <v>54.0075348180944</v>
      </c>
    </row>
    <row r="130" spans="4:8">
      <c r="D130" s="173"/>
      <c r="E130" s="272">
        <f t="shared" ref="E130:H130" si="46">E100*4</f>
        <v>290.943410532129</v>
      </c>
      <c r="F130" s="272">
        <f t="shared" si="46"/>
        <v>1406.52700859695</v>
      </c>
      <c r="G130" s="272">
        <f t="shared" si="46"/>
        <v>1609.32200561967</v>
      </c>
      <c r="H130" s="272">
        <f t="shared" si="46"/>
        <v>1693.1552774908</v>
      </c>
    </row>
    <row r="133" spans="4:7">
      <c r="D133" s="173" t="s">
        <v>108</v>
      </c>
      <c r="E133" s="272">
        <f t="shared" ref="E133:G133" si="47">E93*5</f>
        <v>56.7926947748489</v>
      </c>
      <c r="F133" s="272">
        <f t="shared" si="47"/>
        <v>150.838445118007</v>
      </c>
      <c r="G133" s="272">
        <f t="shared" si="47"/>
        <v>160.59604563114</v>
      </c>
    </row>
    <row r="134" spans="4:7">
      <c r="D134" s="173"/>
      <c r="E134" s="272">
        <f t="shared" ref="E134:G134" si="48">E94*5</f>
        <v>-14.1489845210238</v>
      </c>
      <c r="F134" s="272">
        <f t="shared" si="48"/>
        <v>-42.1373950244694</v>
      </c>
      <c r="G134" s="272">
        <f t="shared" si="48"/>
        <v>-70.8577364147212</v>
      </c>
    </row>
    <row r="135" spans="4:7">
      <c r="D135" s="173"/>
      <c r="E135" s="272">
        <f t="shared" ref="E135:G135" si="49">E95*5</f>
        <v>99.6353990243352</v>
      </c>
      <c r="F135" s="272">
        <f t="shared" si="49"/>
        <v>493.839498535598</v>
      </c>
      <c r="G135" s="272">
        <f t="shared" si="49"/>
        <v>549.823940603967</v>
      </c>
    </row>
    <row r="136" spans="4:7">
      <c r="D136" s="173"/>
      <c r="E136" s="272">
        <f t="shared" ref="E136:G136" si="50">E96*5</f>
        <v>1.2096317527081</v>
      </c>
      <c r="F136" s="272">
        <f t="shared" si="50"/>
        <v>4.57320140800961</v>
      </c>
      <c r="G136" s="272">
        <f t="shared" si="50"/>
        <v>8.28043065044692</v>
      </c>
    </row>
    <row r="137" spans="4:7">
      <c r="D137" s="173"/>
      <c r="E137" s="272">
        <f t="shared" ref="E137:G137" si="51">E97*5</f>
        <v>213.160522134293</v>
      </c>
      <c r="F137" s="272">
        <f t="shared" si="51"/>
        <v>1144.16737922079</v>
      </c>
      <c r="G137" s="272">
        <f t="shared" si="51"/>
        <v>1241.63312141196</v>
      </c>
    </row>
    <row r="138" spans="4:7">
      <c r="D138" s="173"/>
      <c r="E138" s="272">
        <f t="shared" ref="E138:G138" si="52">E98*5</f>
        <v>2.77</v>
      </c>
      <c r="F138" s="272">
        <f t="shared" si="52"/>
        <v>30.8441000000001</v>
      </c>
      <c r="G138" s="272">
        <f t="shared" si="52"/>
        <v>54.7966043671653</v>
      </c>
    </row>
    <row r="139" spans="4:7">
      <c r="D139" s="173"/>
      <c r="E139" s="272">
        <f t="shared" ref="E139:G139" si="53">E99*5</f>
        <v>4.26</v>
      </c>
      <c r="F139" s="272">
        <f t="shared" si="53"/>
        <v>33.2130000000001</v>
      </c>
      <c r="G139" s="272">
        <f t="shared" si="53"/>
        <v>67.509418522618</v>
      </c>
    </row>
    <row r="140" spans="4:8">
      <c r="D140" s="173"/>
      <c r="E140" s="272">
        <f t="shared" ref="E140:H140" si="54">E100*5</f>
        <v>363.679263165161</v>
      </c>
      <c r="F140" s="272">
        <f t="shared" si="54"/>
        <v>1758.15876074619</v>
      </c>
      <c r="G140" s="272">
        <f t="shared" si="54"/>
        <v>2011.65250702458</v>
      </c>
      <c r="H140" s="272">
        <f t="shared" si="54"/>
        <v>2116.4440968635</v>
      </c>
    </row>
    <row r="143" spans="4:7">
      <c r="D143" s="173" t="s">
        <v>109</v>
      </c>
      <c r="E143" s="272">
        <f t="shared" ref="E143:G143" si="55">E93*6</f>
        <v>68.1512337298187</v>
      </c>
      <c r="F143" s="272">
        <f t="shared" si="55"/>
        <v>181.006134141609</v>
      </c>
      <c r="G143" s="272">
        <f t="shared" si="55"/>
        <v>192.715254757368</v>
      </c>
    </row>
    <row r="144" spans="4:7">
      <c r="D144" s="173"/>
      <c r="E144" s="272">
        <f t="shared" ref="E144:G144" si="56">E94*6</f>
        <v>-16.9787814252286</v>
      </c>
      <c r="F144" s="272">
        <f t="shared" si="56"/>
        <v>-50.5648740293633</v>
      </c>
      <c r="G144" s="272">
        <f t="shared" si="56"/>
        <v>-85.0292836976654</v>
      </c>
    </row>
    <row r="145" spans="4:7">
      <c r="D145" s="173"/>
      <c r="E145" s="272">
        <f t="shared" ref="E145:G145" si="57">E95*6</f>
        <v>119.562478829202</v>
      </c>
      <c r="F145" s="272">
        <f t="shared" si="57"/>
        <v>592.607398242717</v>
      </c>
      <c r="G145" s="272">
        <f t="shared" si="57"/>
        <v>659.78872872476</v>
      </c>
    </row>
    <row r="146" spans="4:7">
      <c r="D146" s="173"/>
      <c r="E146" s="272">
        <f t="shared" ref="E146:G146" si="58">E96*6</f>
        <v>1.45155810324972</v>
      </c>
      <c r="F146" s="272">
        <f t="shared" si="58"/>
        <v>5.48784168961154</v>
      </c>
      <c r="G146" s="272">
        <f t="shared" si="58"/>
        <v>9.93651678053631</v>
      </c>
    </row>
    <row r="147" spans="4:7">
      <c r="D147" s="173"/>
      <c r="E147" s="272">
        <f t="shared" ref="E147:G147" si="59">E97*6</f>
        <v>255.792626561152</v>
      </c>
      <c r="F147" s="272">
        <f t="shared" si="59"/>
        <v>1373.00085506495</v>
      </c>
      <c r="G147" s="272">
        <f t="shared" si="59"/>
        <v>1489.95974569435</v>
      </c>
    </row>
    <row r="148" spans="4:7">
      <c r="D148" s="173"/>
      <c r="E148" s="272">
        <f t="shared" ref="E148:G148" si="60">E98*6</f>
        <v>3.324</v>
      </c>
      <c r="F148" s="272">
        <f t="shared" si="60"/>
        <v>37.0129200000001</v>
      </c>
      <c r="G148" s="272">
        <f t="shared" si="60"/>
        <v>65.7559252405983</v>
      </c>
    </row>
    <row r="149" spans="4:7">
      <c r="D149" s="173"/>
      <c r="E149" s="272">
        <f t="shared" ref="E149:G149" si="61">E99*6</f>
        <v>5.112</v>
      </c>
      <c r="F149" s="272">
        <f t="shared" si="61"/>
        <v>39.8556000000001</v>
      </c>
      <c r="G149" s="272">
        <f t="shared" si="61"/>
        <v>81.0113022271416</v>
      </c>
    </row>
    <row r="150" spans="4:8">
      <c r="D150" s="173"/>
      <c r="E150" s="272">
        <f t="shared" ref="E150:H150" si="62">E100*6</f>
        <v>436.415115798193</v>
      </c>
      <c r="F150" s="272">
        <f t="shared" si="62"/>
        <v>2109.79051289543</v>
      </c>
      <c r="G150" s="272">
        <f t="shared" si="62"/>
        <v>2413.9830084295</v>
      </c>
      <c r="H150" s="272">
        <f t="shared" si="62"/>
        <v>2539.7329162362</v>
      </c>
    </row>
  </sheetData>
  <mergeCells count="17">
    <mergeCell ref="BD1:BK1"/>
    <mergeCell ref="BD11:BK11"/>
    <mergeCell ref="BD20:BK20"/>
    <mergeCell ref="BD29:BK29"/>
    <mergeCell ref="BD38:BK38"/>
    <mergeCell ref="BD47:BK47"/>
    <mergeCell ref="BD56:BK56"/>
    <mergeCell ref="E58:G58"/>
    <mergeCell ref="H58:J58"/>
    <mergeCell ref="K58:M58"/>
    <mergeCell ref="N58:P58"/>
    <mergeCell ref="K102:P102"/>
    <mergeCell ref="Q102:V102"/>
    <mergeCell ref="D4:D29"/>
    <mergeCell ref="D30:D33"/>
    <mergeCell ref="D34:D37"/>
    <mergeCell ref="D39:D50"/>
  </mergeCells>
  <pageMargins left="0.75" right="0.75" top="1" bottom="1" header="0.5" footer="0.5"/>
  <pageSetup paperSize="1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54" zoomScaleNormal="54" workbookViewId="0">
      <selection activeCell="F37" sqref="F37"/>
    </sheetView>
  </sheetViews>
  <sheetFormatPr defaultColWidth="8.72727272727273" defaultRowHeight="14.5"/>
  <cols>
    <col min="1" max="1" width="31.8181818181818" customWidth="1"/>
    <col min="5" max="5" width="26.3636363636364" customWidth="1"/>
  </cols>
  <sheetData>
    <row r="1" spans="1:6">
      <c r="A1" s="155"/>
      <c r="B1" s="155" t="s">
        <v>92</v>
      </c>
      <c r="E1" s="155"/>
      <c r="F1" s="155" t="s">
        <v>93</v>
      </c>
    </row>
    <row r="2" spans="1:6">
      <c r="A2" s="156" t="s">
        <v>12</v>
      </c>
      <c r="B2" s="157">
        <f>M13</f>
        <v>610</v>
      </c>
      <c r="E2" s="156" t="s">
        <v>12</v>
      </c>
      <c r="F2" s="157">
        <f>M23</f>
        <v>1010</v>
      </c>
    </row>
    <row r="3" spans="1:6">
      <c r="A3" s="156" t="s">
        <v>13</v>
      </c>
      <c r="B3" s="157">
        <f>M14</f>
        <v>1330</v>
      </c>
      <c r="E3" s="156" t="s">
        <v>13</v>
      </c>
      <c r="F3" s="157">
        <f>M24</f>
        <v>1830</v>
      </c>
    </row>
    <row r="5" spans="12:13">
      <c r="L5" s="164"/>
      <c r="M5" s="165">
        <v>2023</v>
      </c>
    </row>
    <row r="6" spans="12:13">
      <c r="L6" s="166" t="s">
        <v>102</v>
      </c>
      <c r="M6" s="167"/>
    </row>
    <row r="7" spans="12:13">
      <c r="L7" s="168" t="s">
        <v>6</v>
      </c>
      <c r="M7" s="169">
        <v>750</v>
      </c>
    </row>
    <row r="8" spans="12:13">
      <c r="L8" s="168" t="s">
        <v>7</v>
      </c>
      <c r="M8" s="169">
        <v>1110</v>
      </c>
    </row>
    <row r="9" spans="12:13">
      <c r="L9" s="168" t="s">
        <v>8</v>
      </c>
      <c r="M9" s="169">
        <v>1880</v>
      </c>
    </row>
    <row r="10" spans="12:13">
      <c r="L10" s="168" t="s">
        <v>9</v>
      </c>
      <c r="M10" s="169">
        <v>1250</v>
      </c>
    </row>
    <row r="11" spans="1:13">
      <c r="A11" s="158" t="s">
        <v>102</v>
      </c>
      <c r="B11" s="159"/>
      <c r="E11" s="158" t="s">
        <v>104</v>
      </c>
      <c r="F11" s="159"/>
      <c r="L11" s="168" t="s">
        <v>10</v>
      </c>
      <c r="M11" s="169">
        <v>670</v>
      </c>
    </row>
    <row r="12" spans="1:13">
      <c r="A12" s="160" t="s">
        <v>6</v>
      </c>
      <c r="B12" s="161">
        <f t="shared" ref="B12:B17" si="0">M7</f>
        <v>750</v>
      </c>
      <c r="E12" s="160" t="s">
        <v>6</v>
      </c>
      <c r="F12" s="161">
        <f t="shared" ref="F12:F17" si="1">M17</f>
        <v>990</v>
      </c>
      <c r="L12" s="168" t="s">
        <v>11</v>
      </c>
      <c r="M12" s="169">
        <v>710</v>
      </c>
    </row>
    <row r="13" spans="1:13">
      <c r="A13" s="160" t="s">
        <v>7</v>
      </c>
      <c r="B13" s="161">
        <f t="shared" si="0"/>
        <v>1110</v>
      </c>
      <c r="E13" s="160" t="s">
        <v>7</v>
      </c>
      <c r="F13" s="161">
        <f t="shared" si="1"/>
        <v>3460</v>
      </c>
      <c r="L13" s="168" t="s">
        <v>12</v>
      </c>
      <c r="M13" s="169">
        <v>610</v>
      </c>
    </row>
    <row r="14" spans="1:13">
      <c r="A14" s="160" t="s">
        <v>8</v>
      </c>
      <c r="B14" s="161">
        <f t="shared" si="0"/>
        <v>1880</v>
      </c>
      <c r="E14" s="160" t="s">
        <v>8</v>
      </c>
      <c r="F14" s="161">
        <f t="shared" si="1"/>
        <v>1850</v>
      </c>
      <c r="L14" s="168" t="s">
        <v>13</v>
      </c>
      <c r="M14" s="169">
        <v>1330</v>
      </c>
    </row>
    <row r="15" spans="1:13">
      <c r="A15" s="160" t="s">
        <v>9</v>
      </c>
      <c r="B15" s="161">
        <f t="shared" si="0"/>
        <v>1250</v>
      </c>
      <c r="E15" s="160" t="s">
        <v>9</v>
      </c>
      <c r="F15" s="161">
        <f t="shared" si="1"/>
        <v>1610</v>
      </c>
      <c r="L15" s="170" t="s">
        <v>14</v>
      </c>
      <c r="M15" s="171">
        <v>730</v>
      </c>
    </row>
    <row r="16" spans="1:13">
      <c r="A16" s="160" t="s">
        <v>10</v>
      </c>
      <c r="B16" s="161">
        <f t="shared" si="0"/>
        <v>670</v>
      </c>
      <c r="E16" s="160" t="s">
        <v>10</v>
      </c>
      <c r="F16" s="161">
        <f t="shared" si="1"/>
        <v>750</v>
      </c>
      <c r="L16" s="166" t="s">
        <v>104</v>
      </c>
      <c r="M16" s="167"/>
    </row>
    <row r="17" spans="1:13">
      <c r="A17" s="160" t="s">
        <v>11</v>
      </c>
      <c r="B17" s="161">
        <f t="shared" si="0"/>
        <v>710</v>
      </c>
      <c r="E17" s="160" t="s">
        <v>11</v>
      </c>
      <c r="F17" s="161">
        <f t="shared" si="1"/>
        <v>780</v>
      </c>
      <c r="L17" s="168" t="s">
        <v>6</v>
      </c>
      <c r="M17" s="169">
        <v>990</v>
      </c>
    </row>
    <row r="18" spans="1:13">
      <c r="A18" s="162" t="s">
        <v>14</v>
      </c>
      <c r="B18" s="163">
        <f>M15</f>
        <v>730</v>
      </c>
      <c r="E18" s="162" t="s">
        <v>14</v>
      </c>
      <c r="F18" s="163">
        <f>M25</f>
        <v>560</v>
      </c>
      <c r="L18" s="168" t="s">
        <v>7</v>
      </c>
      <c r="M18" s="169">
        <v>3460</v>
      </c>
    </row>
    <row r="19" spans="12:13">
      <c r="L19" s="168" t="s">
        <v>8</v>
      </c>
      <c r="M19" s="169">
        <v>1850</v>
      </c>
    </row>
    <row r="20" spans="12:13">
      <c r="L20" s="168" t="s">
        <v>9</v>
      </c>
      <c r="M20" s="169">
        <v>1610</v>
      </c>
    </row>
    <row r="21" spans="12:13">
      <c r="L21" s="168" t="s">
        <v>10</v>
      </c>
      <c r="M21" s="169">
        <v>750</v>
      </c>
    </row>
    <row r="22" spans="12:13">
      <c r="L22" s="168" t="s">
        <v>11</v>
      </c>
      <c r="M22" s="169">
        <v>780</v>
      </c>
    </row>
    <row r="23" spans="12:13">
      <c r="L23" s="168" t="s">
        <v>12</v>
      </c>
      <c r="M23" s="169">
        <v>1010</v>
      </c>
    </row>
    <row r="24" spans="12:13">
      <c r="L24" s="168" t="s">
        <v>13</v>
      </c>
      <c r="M24" s="169">
        <v>1830</v>
      </c>
    </row>
    <row r="25" spans="12:13">
      <c r="L25" s="170" t="s">
        <v>14</v>
      </c>
      <c r="M25" s="171">
        <v>560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4"/>
  <sheetViews>
    <sheetView zoomScale="81" zoomScaleNormal="81" workbookViewId="0">
      <selection activeCell="A9" sqref="A9"/>
    </sheetView>
  </sheetViews>
  <sheetFormatPr defaultColWidth="8.72727272727273" defaultRowHeight="14.5"/>
  <cols>
    <col min="1" max="1" width="92.5454545454545" customWidth="1"/>
    <col min="2" max="2" width="14.2727272727273" customWidth="1"/>
    <col min="5" max="10" width="12.8181818181818"/>
    <col min="13" max="13" width="134.090909090909" customWidth="1"/>
  </cols>
  <sheetData>
    <row r="1" ht="15.5" spans="2:28">
      <c r="B1" s="68" t="s">
        <v>253</v>
      </c>
      <c r="C1" s="69"/>
      <c r="D1" s="69"/>
      <c r="E1" s="69"/>
      <c r="F1" s="69"/>
      <c r="G1" s="69"/>
      <c r="H1" s="69"/>
      <c r="I1" s="69"/>
      <c r="J1" s="69"/>
      <c r="L1" s="131" t="s">
        <v>254</v>
      </c>
      <c r="M1" s="131"/>
      <c r="N1" s="68" t="s">
        <v>255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5.5" spans="1:28">
      <c r="A2" s="11"/>
      <c r="B2" s="11"/>
      <c r="C2" s="69"/>
      <c r="D2" s="69"/>
      <c r="E2" s="69"/>
      <c r="F2" s="69"/>
      <c r="G2" s="69"/>
      <c r="H2" s="69"/>
      <c r="I2" s="69"/>
      <c r="J2" s="69"/>
      <c r="L2" s="131"/>
      <c r="M2" s="13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5" spans="1:28">
      <c r="A3" s="11"/>
      <c r="B3" s="11"/>
      <c r="C3" s="69"/>
      <c r="D3" s="69"/>
      <c r="E3" s="69"/>
      <c r="F3" s="69"/>
      <c r="G3" s="69"/>
      <c r="H3" s="69"/>
      <c r="I3" s="69"/>
      <c r="J3" s="69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15.5" spans="1:28">
      <c r="A4" s="11"/>
      <c r="B4" s="11"/>
      <c r="C4" s="69"/>
      <c r="D4" s="69"/>
      <c r="E4" s="69"/>
      <c r="F4" s="69"/>
      <c r="G4" s="69"/>
      <c r="H4" s="70"/>
      <c r="I4" s="70"/>
      <c r="J4" s="70"/>
      <c r="M4" s="11"/>
      <c r="N4" s="1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1"/>
      <c r="AB4" s="11"/>
    </row>
    <row r="5" ht="15.5" spans="1:28">
      <c r="A5" s="11"/>
      <c r="B5" s="68"/>
      <c r="C5" s="69"/>
      <c r="D5" s="69"/>
      <c r="E5" s="69"/>
      <c r="F5" s="69"/>
      <c r="G5" s="69"/>
      <c r="H5" s="71"/>
      <c r="I5" s="71"/>
      <c r="J5" s="71"/>
      <c r="M5" s="11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1"/>
      <c r="AB5" s="11"/>
    </row>
    <row r="6" ht="15.5" spans="1:28">
      <c r="A6" s="11"/>
      <c r="B6" s="68"/>
      <c r="C6" s="11"/>
      <c r="D6" s="69"/>
      <c r="E6" s="69"/>
      <c r="F6" s="69"/>
      <c r="G6" s="69"/>
      <c r="H6" s="69"/>
      <c r="I6" s="71"/>
      <c r="J6" s="135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15.5" spans="1:28">
      <c r="A7" s="11"/>
      <c r="B7" s="72" t="s">
        <v>256</v>
      </c>
      <c r="C7" s="72" t="s">
        <v>257</v>
      </c>
      <c r="D7" s="70"/>
      <c r="E7" s="70">
        <v>2018</v>
      </c>
      <c r="F7" s="70">
        <v>2019</v>
      </c>
      <c r="G7" s="70">
        <v>2020</v>
      </c>
      <c r="H7" s="70">
        <v>2021</v>
      </c>
      <c r="I7" s="70">
        <v>2022</v>
      </c>
      <c r="J7" s="70">
        <v>2023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72.5" spans="1:28">
      <c r="A8" s="11"/>
      <c r="B8" s="72" t="s">
        <v>13</v>
      </c>
      <c r="C8" s="73" t="s">
        <v>258</v>
      </c>
      <c r="D8" s="74" t="s">
        <v>259</v>
      </c>
      <c r="E8" s="75">
        <v>1943.29695156312</v>
      </c>
      <c r="F8" s="75">
        <v>1536.5297296719</v>
      </c>
      <c r="G8" s="75">
        <v>1344.265578283</v>
      </c>
      <c r="H8" s="75">
        <v>1213.23787016557</v>
      </c>
      <c r="I8" s="75">
        <v>1302.70579929236</v>
      </c>
      <c r="J8" s="136">
        <v>1255.07965435738</v>
      </c>
      <c r="M8" s="11"/>
      <c r="N8" s="137" t="s">
        <v>260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32"/>
      <c r="AA8" s="11"/>
      <c r="AB8" s="11"/>
    </row>
    <row r="9" ht="72.5" spans="1:28">
      <c r="A9" s="11"/>
      <c r="B9" s="72"/>
      <c r="C9" s="76"/>
      <c r="D9" s="75" t="s">
        <v>261</v>
      </c>
      <c r="E9" s="75"/>
      <c r="F9" s="77">
        <v>-0.21</v>
      </c>
      <c r="G9" s="77">
        <v>-0.13</v>
      </c>
      <c r="H9" s="77">
        <v>-0.1</v>
      </c>
      <c r="I9" s="77">
        <v>0.07</v>
      </c>
      <c r="J9" s="77">
        <v>-0.04</v>
      </c>
      <c r="M9" s="11"/>
      <c r="N9" s="11"/>
      <c r="O9" s="68">
        <v>2010</v>
      </c>
      <c r="P9" s="68">
        <v>2011</v>
      </c>
      <c r="Q9" s="68">
        <v>2012</v>
      </c>
      <c r="R9" s="68">
        <v>2013</v>
      </c>
      <c r="S9" s="68">
        <v>2014</v>
      </c>
      <c r="T9" s="68">
        <v>2015</v>
      </c>
      <c r="U9" s="68">
        <v>2016</v>
      </c>
      <c r="V9" s="68">
        <v>2017</v>
      </c>
      <c r="W9" s="68">
        <v>2018</v>
      </c>
      <c r="X9" s="68">
        <v>2019</v>
      </c>
      <c r="Y9" s="68">
        <v>2020</v>
      </c>
      <c r="Z9" s="68">
        <v>2021</v>
      </c>
      <c r="AA9" s="68">
        <v>2022</v>
      </c>
      <c r="AB9" s="68">
        <v>2023</v>
      </c>
    </row>
    <row r="10" spans="1:28">
      <c r="A10" s="11"/>
      <c r="B10" s="72"/>
      <c r="C10" s="76"/>
      <c r="D10" s="75"/>
      <c r="E10" s="75"/>
      <c r="F10" s="77"/>
      <c r="G10" s="77"/>
      <c r="H10" s="77"/>
      <c r="I10" s="77"/>
      <c r="J10" s="77"/>
      <c r="M10" s="11"/>
      <c r="N10" s="11" t="s">
        <v>262</v>
      </c>
      <c r="O10" s="138">
        <v>3883.97301861702</v>
      </c>
      <c r="P10" s="138">
        <v>2992.95435501903</v>
      </c>
      <c r="Q10" s="138">
        <v>2388.67314415498</v>
      </c>
      <c r="R10" s="138">
        <v>1951.72831121347</v>
      </c>
      <c r="S10" s="138">
        <v>1633.8612320523</v>
      </c>
      <c r="T10" s="138">
        <v>1385.13855296933</v>
      </c>
      <c r="U10" s="138">
        <v>1184.34588264439</v>
      </c>
      <c r="V10" s="138">
        <v>961.933382413519</v>
      </c>
      <c r="W10" s="138">
        <v>926.214506937835</v>
      </c>
      <c r="X10" s="138">
        <v>826.608466438878</v>
      </c>
      <c r="Y10" s="138">
        <v>658.551124595374</v>
      </c>
      <c r="Z10" s="138">
        <v>640.567429545358</v>
      </c>
      <c r="AA10" s="138">
        <v>585.413453687172</v>
      </c>
      <c r="AB10" s="138">
        <v>526.44883465</v>
      </c>
    </row>
    <row r="11" ht="58" spans="1:28">
      <c r="A11" s="11"/>
      <c r="B11" s="78" t="s">
        <v>84</v>
      </c>
      <c r="C11" s="79" t="s">
        <v>10</v>
      </c>
      <c r="D11" s="80" t="s">
        <v>259</v>
      </c>
      <c r="E11" s="81">
        <v>1022.83160413785</v>
      </c>
      <c r="F11" s="81">
        <v>924.112166255558</v>
      </c>
      <c r="G11" s="81">
        <v>747.948114528335</v>
      </c>
      <c r="H11" s="82">
        <v>696.866883700018</v>
      </c>
      <c r="I11" s="82">
        <v>741.611684296302</v>
      </c>
      <c r="J11" s="82">
        <v>671.126163217668</v>
      </c>
      <c r="M11" s="11"/>
      <c r="N11" s="11" t="s">
        <v>263</v>
      </c>
      <c r="O11" s="138">
        <v>5310.48752245864</v>
      </c>
      <c r="P11" s="138">
        <v>4553.25824827144</v>
      </c>
      <c r="Q11" s="138">
        <v>3466.21975699055</v>
      </c>
      <c r="R11" s="138">
        <v>3042.4048998217</v>
      </c>
      <c r="S11" s="138">
        <v>2749.1696718409</v>
      </c>
      <c r="T11" s="138">
        <v>2090.44187871051</v>
      </c>
      <c r="U11" s="138">
        <v>1900.52412531965</v>
      </c>
      <c r="V11" s="138">
        <v>1644.27759751151</v>
      </c>
      <c r="W11" s="138">
        <v>1404.95526168816</v>
      </c>
      <c r="X11" s="138">
        <v>1160.74327436665</v>
      </c>
      <c r="Y11" s="138">
        <v>1019.43211878651</v>
      </c>
      <c r="Z11" s="138">
        <v>950.074713653874</v>
      </c>
      <c r="AA11" s="138">
        <v>908.020864964591</v>
      </c>
      <c r="AB11" s="138">
        <v>757.687831048275</v>
      </c>
    </row>
    <row r="12" ht="72.5" spans="1:28">
      <c r="A12" s="11"/>
      <c r="B12" s="78"/>
      <c r="C12" s="79"/>
      <c r="D12" s="81" t="s">
        <v>261</v>
      </c>
      <c r="E12" s="81"/>
      <c r="F12" s="83">
        <v>-0.1</v>
      </c>
      <c r="G12" s="83">
        <v>-0.19</v>
      </c>
      <c r="H12" s="83">
        <v>-0.07</v>
      </c>
      <c r="I12" s="83">
        <v>0.06</v>
      </c>
      <c r="J12" s="83">
        <v>-0.1</v>
      </c>
      <c r="M12" s="11"/>
      <c r="N12" s="11" t="s">
        <v>264</v>
      </c>
      <c r="O12" s="138">
        <v>8618.68772510382</v>
      </c>
      <c r="P12" s="138">
        <v>8500.47640905197</v>
      </c>
      <c r="Q12" s="138">
        <v>7381.73765974144</v>
      </c>
      <c r="R12" s="138">
        <v>6131.13291993759</v>
      </c>
      <c r="S12" s="138">
        <v>5918.93440338507</v>
      </c>
      <c r="T12" s="138">
        <v>4642.08546388556</v>
      </c>
      <c r="U12" s="138">
        <v>3734.55260066299</v>
      </c>
      <c r="V12" s="138">
        <v>3445.77711366719</v>
      </c>
      <c r="W12" s="138">
        <v>3321.31349619033</v>
      </c>
      <c r="X12" s="138">
        <v>2728.91961685602</v>
      </c>
      <c r="Y12" s="138">
        <v>2696.91314736145</v>
      </c>
      <c r="Z12" s="138">
        <v>2166.64951053177</v>
      </c>
      <c r="AA12" s="138">
        <v>1946.15411885845</v>
      </c>
      <c r="AB12" s="138">
        <v>1662.82821459385</v>
      </c>
    </row>
    <row r="13" ht="58" spans="1:28">
      <c r="A13" s="11"/>
      <c r="B13" s="78"/>
      <c r="C13" s="79" t="s">
        <v>11</v>
      </c>
      <c r="D13" s="80" t="s">
        <v>259</v>
      </c>
      <c r="E13" s="82">
        <v>921.834818447256</v>
      </c>
      <c r="F13" s="82">
        <v>719.161696587899</v>
      </c>
      <c r="G13" s="82">
        <v>684.939122283858</v>
      </c>
      <c r="H13" s="82">
        <v>654.064457978973</v>
      </c>
      <c r="I13" s="139">
        <v>664.040288382159</v>
      </c>
      <c r="J13" s="87">
        <v>711.328186596699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72.5" spans="1:28">
      <c r="A14" s="11"/>
      <c r="B14" s="78"/>
      <c r="C14" s="84"/>
      <c r="D14" s="81" t="s">
        <v>261</v>
      </c>
      <c r="E14" s="82"/>
      <c r="F14" s="83">
        <v>-0.22</v>
      </c>
      <c r="G14" s="83">
        <v>-0.05</v>
      </c>
      <c r="H14" s="83">
        <v>-0.05</v>
      </c>
      <c r="I14" s="83">
        <v>0.02</v>
      </c>
      <c r="J14" s="83">
        <v>0.07</v>
      </c>
      <c r="M14" s="11"/>
      <c r="N14" s="11"/>
      <c r="O14" s="11"/>
      <c r="P14" s="11"/>
      <c r="Q14" s="148"/>
      <c r="R14" s="148"/>
      <c r="S14" s="148"/>
      <c r="T14" s="148"/>
      <c r="U14" s="148"/>
      <c r="V14" s="148"/>
      <c r="W14" s="148"/>
      <c r="X14" s="148"/>
      <c r="Y14" s="11"/>
      <c r="Z14" s="11"/>
      <c r="AA14" s="11"/>
      <c r="AB14" s="11"/>
    </row>
    <row r="15" ht="58" spans="1:28">
      <c r="A15" s="11"/>
      <c r="B15" s="78"/>
      <c r="C15" s="85" t="s">
        <v>8</v>
      </c>
      <c r="D15" s="80" t="s">
        <v>259</v>
      </c>
      <c r="E15" s="82">
        <v>2443.85985813359</v>
      </c>
      <c r="F15" s="82">
        <v>2407.66726690182</v>
      </c>
      <c r="G15" s="82">
        <v>2105.7800278738</v>
      </c>
      <c r="H15" s="82">
        <v>1878.45906380887</v>
      </c>
      <c r="I15" s="139">
        <v>1975.53872270502</v>
      </c>
      <c r="J15" s="87">
        <v>1875.23992880094</v>
      </c>
      <c r="M15" s="11"/>
      <c r="N15" s="11" t="s">
        <v>265</v>
      </c>
      <c r="O15" s="11"/>
      <c r="P15" s="11"/>
      <c r="Q15" s="11"/>
      <c r="R15" s="148"/>
      <c r="S15" s="148"/>
      <c r="T15" s="148"/>
      <c r="U15" s="148"/>
      <c r="V15" s="148"/>
      <c r="W15" s="148"/>
      <c r="X15" s="148"/>
      <c r="Y15" s="11"/>
      <c r="Z15" s="11"/>
      <c r="AA15" s="11"/>
      <c r="AB15" s="11"/>
    </row>
    <row r="16" ht="72.5" spans="1:28">
      <c r="A16" s="11"/>
      <c r="B16" s="78"/>
      <c r="C16" s="86"/>
      <c r="D16" s="81" t="s">
        <v>261</v>
      </c>
      <c r="E16" s="87"/>
      <c r="F16" s="83">
        <v>-0.01</v>
      </c>
      <c r="G16" s="83">
        <v>-0.13</v>
      </c>
      <c r="H16" s="83">
        <v>-0.11</v>
      </c>
      <c r="I16" s="83">
        <v>0.05</v>
      </c>
      <c r="J16" s="83">
        <v>-0.05</v>
      </c>
      <c r="M16" s="11"/>
      <c r="N16" s="11"/>
      <c r="O16" s="68">
        <v>2010</v>
      </c>
      <c r="P16" s="68">
        <v>2011</v>
      </c>
      <c r="Q16" s="68">
        <v>2012</v>
      </c>
      <c r="R16" s="68">
        <v>2013</v>
      </c>
      <c r="S16" s="68">
        <v>2014</v>
      </c>
      <c r="T16" s="68">
        <v>2015</v>
      </c>
      <c r="U16" s="68">
        <v>2016</v>
      </c>
      <c r="V16" s="68">
        <v>2017</v>
      </c>
      <c r="W16" s="68">
        <v>2018</v>
      </c>
      <c r="X16" s="68">
        <v>2019</v>
      </c>
      <c r="Y16" s="68">
        <v>2020</v>
      </c>
      <c r="Z16" s="68">
        <v>2021</v>
      </c>
      <c r="AA16" s="68">
        <v>2022</v>
      </c>
      <c r="AB16" s="68">
        <v>2023</v>
      </c>
    </row>
    <row r="17" ht="58" spans="1:28">
      <c r="A17" s="11"/>
      <c r="B17" s="78"/>
      <c r="C17" s="86" t="s">
        <v>78</v>
      </c>
      <c r="D17" s="80" t="s">
        <v>259</v>
      </c>
      <c r="E17" s="87">
        <v>1542.29916790724</v>
      </c>
      <c r="F17" s="87">
        <v>1456.29765197812</v>
      </c>
      <c r="G17" s="87">
        <v>1090.55169928511</v>
      </c>
      <c r="H17" s="87">
        <v>1043.29148130708</v>
      </c>
      <c r="I17" s="87">
        <v>1387.0977397757</v>
      </c>
      <c r="J17" s="87">
        <v>1205.26012257957</v>
      </c>
      <c r="M17" s="11"/>
      <c r="N17" s="11" t="s">
        <v>262</v>
      </c>
      <c r="O17" s="140">
        <v>0.11003125</v>
      </c>
      <c r="P17" s="140">
        <v>0.101012</v>
      </c>
      <c r="Q17" s="140">
        <v>0.104705</v>
      </c>
      <c r="R17" s="140">
        <v>0.118938</v>
      </c>
      <c r="S17" s="140">
        <v>0.108012</v>
      </c>
      <c r="T17" s="140">
        <v>0.10795205</v>
      </c>
      <c r="U17" s="140">
        <v>0.106874</v>
      </c>
      <c r="V17" s="140">
        <v>0.1147831</v>
      </c>
      <c r="W17" s="140">
        <v>0.1235139</v>
      </c>
      <c r="X17" s="140">
        <v>0.10745</v>
      </c>
      <c r="Y17" s="140">
        <v>0.099</v>
      </c>
      <c r="Z17" s="140">
        <v>0.108</v>
      </c>
      <c r="AA17" s="140">
        <v>0.10365</v>
      </c>
      <c r="AB17" s="140">
        <v>0.1</v>
      </c>
    </row>
    <row r="18" ht="72.5" spans="1:28">
      <c r="A18" s="11"/>
      <c r="B18" s="88" t="s">
        <v>38</v>
      </c>
      <c r="C18" s="3"/>
      <c r="D18" s="89" t="s">
        <v>261</v>
      </c>
      <c r="E18" s="90"/>
      <c r="F18" s="91">
        <v>-0.06</v>
      </c>
      <c r="G18" s="91">
        <v>-0.25</v>
      </c>
      <c r="H18" s="91">
        <v>-0.04</v>
      </c>
      <c r="I18" s="91">
        <v>0.33</v>
      </c>
      <c r="J18" s="91">
        <v>-0.13</v>
      </c>
      <c r="M18" s="11"/>
      <c r="N18" s="11" t="s">
        <v>263</v>
      </c>
      <c r="O18" s="140">
        <v>0.138153021118619</v>
      </c>
      <c r="P18" s="140">
        <v>0.153046216088229</v>
      </c>
      <c r="Q18" s="140">
        <v>0.151114818092035</v>
      </c>
      <c r="R18" s="140">
        <v>0.164370764508216</v>
      </c>
      <c r="S18" s="140">
        <v>0.165600549037496</v>
      </c>
      <c r="T18" s="140">
        <v>0.165040867274533</v>
      </c>
      <c r="U18" s="140">
        <v>0.167116999647635</v>
      </c>
      <c r="V18" s="140">
        <v>0.175507348691821</v>
      </c>
      <c r="W18" s="140">
        <v>0.179032573777226</v>
      </c>
      <c r="X18" s="140">
        <v>0.175070513154258</v>
      </c>
      <c r="Y18" s="140">
        <v>0.16080057029164</v>
      </c>
      <c r="Z18" s="140">
        <v>0.172090139631765</v>
      </c>
      <c r="AA18" s="140">
        <v>0.169360877387176</v>
      </c>
      <c r="AB18" s="140">
        <v>0.161709277563697</v>
      </c>
    </row>
    <row r="19" spans="1:28">
      <c r="A19" s="11"/>
      <c r="B19" s="88"/>
      <c r="C19" s="3"/>
      <c r="D19" s="89"/>
      <c r="E19" s="90"/>
      <c r="F19" s="90"/>
      <c r="G19" s="90"/>
      <c r="H19" s="90"/>
      <c r="I19" s="90"/>
      <c r="J19" s="90"/>
      <c r="M19" s="11"/>
      <c r="N19" s="11" t="s">
        <v>264</v>
      </c>
      <c r="O19" s="140">
        <v>0.23</v>
      </c>
      <c r="P19" s="140">
        <v>0.26</v>
      </c>
      <c r="Q19" s="140">
        <v>0.2562105</v>
      </c>
      <c r="R19" s="140">
        <v>0.23</v>
      </c>
      <c r="S19" s="140">
        <v>0.2436794</v>
      </c>
      <c r="T19" s="140">
        <v>0.28988495</v>
      </c>
      <c r="U19" s="140">
        <v>0.2589275</v>
      </c>
      <c r="V19" s="140">
        <v>0.27</v>
      </c>
      <c r="W19" s="140">
        <v>0.2694423</v>
      </c>
      <c r="X19" s="140">
        <v>0.238676335120111</v>
      </c>
      <c r="Y19" s="140">
        <v>0.20795</v>
      </c>
      <c r="Z19" s="140">
        <v>0.213</v>
      </c>
      <c r="AA19" s="140">
        <v>0.205</v>
      </c>
      <c r="AB19" s="149">
        <v>0.216984246575342</v>
      </c>
    </row>
    <row r="20" ht="58" spans="1:28">
      <c r="A20" s="11"/>
      <c r="B20" s="88"/>
      <c r="C20" s="1" t="s">
        <v>42</v>
      </c>
      <c r="D20" s="92" t="s">
        <v>259</v>
      </c>
      <c r="E20" s="90">
        <v>2114.82126005064</v>
      </c>
      <c r="F20" s="90"/>
      <c r="G20" s="90">
        <v>872.417984835885</v>
      </c>
      <c r="H20" s="90">
        <v>806.37054475114</v>
      </c>
      <c r="I20" s="90">
        <v>1215.84111743554</v>
      </c>
      <c r="J20" s="90">
        <v>626.345636479765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72.5" spans="1:28">
      <c r="A21" s="11"/>
      <c r="B21" s="88"/>
      <c r="C21" s="1"/>
      <c r="D21" s="89" t="s">
        <v>261</v>
      </c>
      <c r="E21" s="90"/>
      <c r="F21" s="90"/>
      <c r="G21" s="91">
        <v>-0.59</v>
      </c>
      <c r="H21" s="91">
        <v>-0.08</v>
      </c>
      <c r="I21" s="91">
        <v>0.51</v>
      </c>
      <c r="J21" s="91">
        <v>-0.48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48"/>
      <c r="Y21" s="148"/>
      <c r="Z21" s="148"/>
      <c r="AA21" s="11"/>
      <c r="AB21" s="11"/>
    </row>
    <row r="22" ht="58" spans="1:28">
      <c r="A22" s="11"/>
      <c r="B22" s="88"/>
      <c r="C22" s="2" t="s">
        <v>43</v>
      </c>
      <c r="D22" s="92" t="s">
        <v>259</v>
      </c>
      <c r="E22" s="93">
        <v>1358.46994346224</v>
      </c>
      <c r="F22" s="93">
        <v>1304.25578939654</v>
      </c>
      <c r="G22" s="93">
        <v>1291.45042662721</v>
      </c>
      <c r="H22" s="93">
        <v>1133.90764777468</v>
      </c>
      <c r="I22" s="93">
        <v>1266.24363704275</v>
      </c>
      <c r="J22" s="93">
        <v>753.199942043778</v>
      </c>
      <c r="M22" s="11"/>
      <c r="N22" s="141" t="s">
        <v>266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72.5" spans="1:28">
      <c r="A23" s="11"/>
      <c r="B23" s="88"/>
      <c r="C23" s="3"/>
      <c r="D23" s="89" t="s">
        <v>261</v>
      </c>
      <c r="E23" s="91"/>
      <c r="F23" s="91">
        <v>-0.04</v>
      </c>
      <c r="G23" s="91">
        <v>-0.01</v>
      </c>
      <c r="H23" s="91">
        <v>-0.12</v>
      </c>
      <c r="I23" s="91">
        <v>0.12</v>
      </c>
      <c r="J23" s="91">
        <v>0.14</v>
      </c>
      <c r="M23" s="11"/>
      <c r="N23" s="11"/>
      <c r="O23" s="68">
        <v>2010</v>
      </c>
      <c r="P23" s="68">
        <v>2011</v>
      </c>
      <c r="Q23" s="68">
        <v>2012</v>
      </c>
      <c r="R23" s="68">
        <v>2013</v>
      </c>
      <c r="S23" s="68">
        <v>2014</v>
      </c>
      <c r="T23" s="68">
        <v>2015</v>
      </c>
      <c r="U23" s="68">
        <v>2016</v>
      </c>
      <c r="V23" s="68">
        <v>2017</v>
      </c>
      <c r="W23" s="68">
        <v>2018</v>
      </c>
      <c r="X23" s="68">
        <v>2019</v>
      </c>
      <c r="Y23" s="68">
        <v>2020</v>
      </c>
      <c r="Z23" s="68">
        <v>2021</v>
      </c>
      <c r="AA23" s="68">
        <v>2022</v>
      </c>
      <c r="AB23" s="68">
        <v>2023</v>
      </c>
    </row>
    <row r="24" ht="58" spans="1:28">
      <c r="A24" s="11"/>
      <c r="B24" s="88"/>
      <c r="C24" s="3" t="s">
        <v>44</v>
      </c>
      <c r="D24" s="92" t="s">
        <v>259</v>
      </c>
      <c r="E24" s="90">
        <v>1294.65082505449</v>
      </c>
      <c r="F24" s="90">
        <v>1045.37739284252</v>
      </c>
      <c r="G24" s="90">
        <v>804.123585646538</v>
      </c>
      <c r="H24" s="90">
        <v>769.409934919164</v>
      </c>
      <c r="I24" s="93">
        <v>1032.6717094944</v>
      </c>
      <c r="J24" s="90">
        <v>730.770056340242</v>
      </c>
      <c r="M24" s="11"/>
      <c r="N24" s="11" t="s">
        <v>262</v>
      </c>
      <c r="O24" s="142">
        <v>0.229743227398706</v>
      </c>
      <c r="P24" s="142">
        <v>0.192404689706127</v>
      </c>
      <c r="Q24" s="142">
        <v>0.153854387461428</v>
      </c>
      <c r="R24" s="142">
        <v>0.133217591383449</v>
      </c>
      <c r="S24" s="142">
        <v>0.108797813318566</v>
      </c>
      <c r="T24" s="142">
        <v>0.0864975379321626</v>
      </c>
      <c r="U24" s="142">
        <v>0.0799256938469936</v>
      </c>
      <c r="V24" s="142">
        <v>0.0578851989393678</v>
      </c>
      <c r="W24" s="142">
        <v>0.0525029883255145</v>
      </c>
      <c r="X24" s="142">
        <v>0.0500872795406312</v>
      </c>
      <c r="Y24" s="142">
        <v>0.0412881377938234</v>
      </c>
      <c r="Z24" s="142">
        <v>0.0315894570343018</v>
      </c>
      <c r="AA24" s="142">
        <v>0.03057497851684</v>
      </c>
      <c r="AB24" s="142">
        <v>0.0309750690744832</v>
      </c>
    </row>
    <row r="25" ht="72.5" spans="1:28">
      <c r="A25" s="11"/>
      <c r="B25" s="88"/>
      <c r="C25" s="4"/>
      <c r="D25" s="89" t="s">
        <v>261</v>
      </c>
      <c r="E25" s="91"/>
      <c r="F25" s="91">
        <v>-0.19</v>
      </c>
      <c r="G25" s="91">
        <v>-0.23</v>
      </c>
      <c r="H25" s="91">
        <v>-0.04</v>
      </c>
      <c r="I25" s="91">
        <v>0.34</v>
      </c>
      <c r="J25" s="91">
        <v>-0.29</v>
      </c>
      <c r="M25" s="11"/>
      <c r="N25" s="11" t="s">
        <v>263</v>
      </c>
      <c r="O25" s="142">
        <v>0.460012178605917</v>
      </c>
      <c r="P25" s="142">
        <v>0.34292529046848</v>
      </c>
      <c r="Q25" s="142">
        <v>0.255652168024569</v>
      </c>
      <c r="R25" s="142">
        <v>0.196781667413064</v>
      </c>
      <c r="S25" s="142">
        <v>0.176991213797587</v>
      </c>
      <c r="T25" s="142">
        <v>0.132362053910076</v>
      </c>
      <c r="U25" s="142">
        <v>0.115932252300617</v>
      </c>
      <c r="V25" s="142">
        <v>0.0911757905250131</v>
      </c>
      <c r="W25" s="142">
        <v>0.0773319067672124</v>
      </c>
      <c r="X25" s="142">
        <v>0.0674665219683395</v>
      </c>
      <c r="Y25" s="142">
        <v>0.0600861358196165</v>
      </c>
      <c r="Z25" s="142">
        <v>0.0521325239349268</v>
      </c>
      <c r="AA25" s="142">
        <v>0.0504954202099198</v>
      </c>
      <c r="AB25" s="142">
        <v>0.0442474080386716</v>
      </c>
    </row>
    <row r="26" ht="58" spans="1:28">
      <c r="A26" s="11"/>
      <c r="B26" s="88"/>
      <c r="C26" s="470" t="s">
        <v>45</v>
      </c>
      <c r="D26" s="92" t="s">
        <v>259</v>
      </c>
      <c r="E26" s="94">
        <v>1584.19229618499</v>
      </c>
      <c r="F26" s="94">
        <v>1183.557065386</v>
      </c>
      <c r="G26" s="94">
        <v>971.936021583348</v>
      </c>
      <c r="H26" s="94">
        <v>940.777604726071</v>
      </c>
      <c r="I26" s="94">
        <v>943.388712651378</v>
      </c>
      <c r="J26" s="94">
        <v>932.69057682304</v>
      </c>
      <c r="M26" s="11"/>
      <c r="N26" s="11" t="s">
        <v>264</v>
      </c>
      <c r="O26" s="142">
        <v>0.575742293833437</v>
      </c>
      <c r="P26" s="142">
        <v>0.572319692572912</v>
      </c>
      <c r="Q26" s="142">
        <v>0.458339449606231</v>
      </c>
      <c r="R26" s="142">
        <v>0.413569129572358</v>
      </c>
      <c r="S26" s="142">
        <v>0.392197454303264</v>
      </c>
      <c r="T26" s="142">
        <v>0.315571819817577</v>
      </c>
      <c r="U26" s="142">
        <v>0.26128956852188</v>
      </c>
      <c r="V26" s="142">
        <v>0.230837665750466</v>
      </c>
      <c r="W26" s="142">
        <v>0.220416774534274</v>
      </c>
      <c r="X26" s="142">
        <v>0.180725189190728</v>
      </c>
      <c r="Y26" s="142">
        <v>0.175661979757997</v>
      </c>
      <c r="Z26" s="142">
        <v>0.130254102401724</v>
      </c>
      <c r="AA26" s="142">
        <v>0.122086436001091</v>
      </c>
      <c r="AB26" s="142">
        <v>0.109816543792118</v>
      </c>
    </row>
    <row r="27" ht="72.5" spans="1:28">
      <c r="A27" s="11"/>
      <c r="B27" s="88"/>
      <c r="C27" s="95"/>
      <c r="D27" s="89" t="s">
        <v>261</v>
      </c>
      <c r="E27" s="91"/>
      <c r="F27" s="91">
        <v>-0.25</v>
      </c>
      <c r="G27" s="91">
        <v>-0.18</v>
      </c>
      <c r="H27" s="91">
        <v>-0.03</v>
      </c>
      <c r="I27" s="143">
        <v>0.0027754784044497</v>
      </c>
      <c r="J27" s="91">
        <v>-0.01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58" spans="1:28">
      <c r="A28" s="11"/>
      <c r="B28" s="88"/>
      <c r="C28" s="5" t="s">
        <v>46</v>
      </c>
      <c r="D28" s="92" t="s">
        <v>259</v>
      </c>
      <c r="E28" s="94">
        <v>1039.50126364257</v>
      </c>
      <c r="F28" s="94">
        <v>985.637516834471</v>
      </c>
      <c r="G28" s="94">
        <v>823.974752762754</v>
      </c>
      <c r="H28" s="94">
        <v>998.455681092543</v>
      </c>
      <c r="I28" s="96">
        <v>1016.90789587904</v>
      </c>
      <c r="J28" s="94">
        <v>723.269642287587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72.5" spans="1:10">
      <c r="A29" s="11"/>
      <c r="B29" s="88"/>
      <c r="C29" s="3"/>
      <c r="D29" s="89" t="s">
        <v>261</v>
      </c>
      <c r="E29" s="91"/>
      <c r="F29" s="91">
        <v>-0.05</v>
      </c>
      <c r="G29" s="91">
        <v>-0.16</v>
      </c>
      <c r="H29" s="91">
        <v>0.21</v>
      </c>
      <c r="I29" s="91">
        <v>0.02</v>
      </c>
      <c r="J29" s="91">
        <v>-0.29</v>
      </c>
    </row>
    <row r="30" ht="58" spans="1:10">
      <c r="A30" s="11"/>
      <c r="B30" s="88"/>
      <c r="C30" s="3" t="s">
        <v>47</v>
      </c>
      <c r="D30" s="92" t="s">
        <v>259</v>
      </c>
      <c r="E30" s="90">
        <v>1249.04546321056</v>
      </c>
      <c r="F30" s="90">
        <v>1138.72459519101</v>
      </c>
      <c r="G30" s="90">
        <v>1086.96165333469</v>
      </c>
      <c r="H30" s="90">
        <v>896.606743756462</v>
      </c>
      <c r="I30" s="93">
        <v>1199.70312782609</v>
      </c>
      <c r="J30" s="90">
        <v>954.780120798756</v>
      </c>
    </row>
    <row r="31" ht="72.5" spans="1:10">
      <c r="A31" s="11"/>
      <c r="B31" s="88"/>
      <c r="C31" s="3"/>
      <c r="D31" s="89" t="s">
        <v>261</v>
      </c>
      <c r="E31" s="91"/>
      <c r="F31" s="91">
        <v>-0.09</v>
      </c>
      <c r="G31" s="91">
        <v>-0.05</v>
      </c>
      <c r="H31" s="91">
        <v>-0.18</v>
      </c>
      <c r="I31" s="91">
        <v>0.34</v>
      </c>
      <c r="J31" s="91">
        <v>-0.2</v>
      </c>
    </row>
    <row r="32" ht="58" spans="1:10">
      <c r="A32" s="11"/>
      <c r="B32" s="88"/>
      <c r="C32" s="470" t="s">
        <v>49</v>
      </c>
      <c r="D32" s="92" t="s">
        <v>259</v>
      </c>
      <c r="E32" s="96">
        <v>1012.26400692356</v>
      </c>
      <c r="F32" s="96">
        <v>965.588735349606</v>
      </c>
      <c r="G32" s="96">
        <v>897.371472991242</v>
      </c>
      <c r="H32" s="94">
        <v>870.70275538463</v>
      </c>
      <c r="I32" s="96">
        <v>799.390980318179</v>
      </c>
      <c r="J32" s="96">
        <v>821.340789143001</v>
      </c>
    </row>
    <row r="33" ht="72.5" spans="1:10">
      <c r="A33" s="11"/>
      <c r="B33" s="88"/>
      <c r="C33" s="4"/>
      <c r="D33" s="89" t="s">
        <v>261</v>
      </c>
      <c r="E33" s="91"/>
      <c r="F33" s="91">
        <v>-0.05</v>
      </c>
      <c r="G33" s="91">
        <v>-0.07</v>
      </c>
      <c r="H33" s="91">
        <v>-0.03</v>
      </c>
      <c r="I33" s="91">
        <v>-0.08</v>
      </c>
      <c r="J33" s="91">
        <v>0.03</v>
      </c>
    </row>
    <row r="34" ht="15.5" spans="1:10">
      <c r="A34" s="11"/>
      <c r="B34" s="97"/>
      <c r="C34" s="98"/>
      <c r="D34" s="75"/>
      <c r="E34" s="99"/>
      <c r="F34" s="99"/>
      <c r="G34" s="99"/>
      <c r="H34" s="99"/>
      <c r="I34" s="99"/>
      <c r="J34" s="99"/>
    </row>
    <row r="35" ht="58" spans="1:10">
      <c r="A35" s="11"/>
      <c r="B35" s="100" t="s">
        <v>12</v>
      </c>
      <c r="C35" s="101" t="s">
        <v>267</v>
      </c>
      <c r="D35" s="74" t="s">
        <v>259</v>
      </c>
      <c r="E35" s="102">
        <v>1473.46600890225</v>
      </c>
      <c r="F35" s="102">
        <v>1158.90126970597</v>
      </c>
      <c r="G35" s="102"/>
      <c r="H35" s="99">
        <v>1033.9599137562</v>
      </c>
      <c r="I35" s="111">
        <v>676.539495304646</v>
      </c>
      <c r="J35" s="102">
        <v>794.038431372549</v>
      </c>
    </row>
    <row r="36" ht="72.5" spans="1:10">
      <c r="A36" s="11"/>
      <c r="B36" s="100"/>
      <c r="C36" s="72"/>
      <c r="D36" s="75" t="s">
        <v>261</v>
      </c>
      <c r="E36" s="77"/>
      <c r="F36" s="77">
        <v>-0.21</v>
      </c>
      <c r="G36" s="69"/>
      <c r="H36" s="77">
        <v>-0.11</v>
      </c>
      <c r="I36" s="77">
        <v>-0.35</v>
      </c>
      <c r="J36" s="77">
        <v>0.17</v>
      </c>
    </row>
    <row r="37" ht="15.5" spans="1:10">
      <c r="A37" s="11"/>
      <c r="B37" s="100"/>
      <c r="C37" s="72"/>
      <c r="D37" s="75"/>
      <c r="E37" s="99"/>
      <c r="F37" s="102"/>
      <c r="G37" s="99"/>
      <c r="H37" s="102"/>
      <c r="I37" s="99"/>
      <c r="J37" s="99"/>
    </row>
    <row r="38" ht="58" spans="1:10">
      <c r="A38" s="11"/>
      <c r="B38" s="103" t="s">
        <v>72</v>
      </c>
      <c r="C38" s="104" t="s">
        <v>73</v>
      </c>
      <c r="D38" s="105" t="s">
        <v>259</v>
      </c>
      <c r="E38" s="106">
        <v>2822.59972185619</v>
      </c>
      <c r="F38" s="106">
        <v>1632.97337516093</v>
      </c>
      <c r="G38" s="106">
        <v>1464.92836702696</v>
      </c>
      <c r="H38" s="106">
        <v>1203.16075568469</v>
      </c>
      <c r="I38" s="144">
        <v>996.270407501257</v>
      </c>
      <c r="J38" s="106">
        <v>1336.5220886681</v>
      </c>
    </row>
    <row r="39" ht="72.5" spans="1:10">
      <c r="A39" s="11"/>
      <c r="B39" s="103"/>
      <c r="C39" s="104"/>
      <c r="D39" s="107" t="s">
        <v>261</v>
      </c>
      <c r="E39" s="108"/>
      <c r="F39" s="108">
        <v>-0.42</v>
      </c>
      <c r="G39" s="108">
        <v>-0.1</v>
      </c>
      <c r="H39" s="108">
        <v>-0.18</v>
      </c>
      <c r="I39" s="108">
        <v>-0.17</v>
      </c>
      <c r="J39" s="108">
        <v>0.34</v>
      </c>
    </row>
    <row r="40" ht="58" spans="1:10">
      <c r="A40" s="11"/>
      <c r="B40" s="103"/>
      <c r="C40" s="471" t="s">
        <v>74</v>
      </c>
      <c r="D40" s="105" t="s">
        <v>259</v>
      </c>
      <c r="E40" s="110">
        <v>1723.0091883349</v>
      </c>
      <c r="F40" s="110">
        <v>1440.35951114617</v>
      </c>
      <c r="G40" s="110">
        <v>1011.21675155422</v>
      </c>
      <c r="H40" s="106">
        <v>967.244440136241</v>
      </c>
      <c r="I40" s="106">
        <v>993.356242608116</v>
      </c>
      <c r="J40" s="106">
        <v>1049.51721777189</v>
      </c>
    </row>
    <row r="41" ht="72.5" spans="1:10">
      <c r="A41" s="11"/>
      <c r="B41" s="103"/>
      <c r="C41" s="109"/>
      <c r="D41" s="107" t="s">
        <v>261</v>
      </c>
      <c r="E41" s="108"/>
      <c r="F41" s="108">
        <v>-0.16</v>
      </c>
      <c r="G41" s="108">
        <v>-0.3</v>
      </c>
      <c r="H41" s="108">
        <v>-0.04</v>
      </c>
      <c r="I41" s="108">
        <v>0.03</v>
      </c>
      <c r="J41" s="108">
        <v>0.06</v>
      </c>
    </row>
    <row r="42" ht="58" spans="1:10">
      <c r="A42" s="11"/>
      <c r="B42" s="103"/>
      <c r="C42" s="109" t="s">
        <v>7</v>
      </c>
      <c r="D42" s="105" t="s">
        <v>259</v>
      </c>
      <c r="E42" s="110">
        <v>1801.22835021904</v>
      </c>
      <c r="F42" s="110">
        <v>1419.7508421581</v>
      </c>
      <c r="G42" s="110">
        <v>1286.66412161719</v>
      </c>
      <c r="H42" s="106">
        <v>1204.24003129247</v>
      </c>
      <c r="I42" s="106">
        <v>1159.75018207673</v>
      </c>
      <c r="J42" s="106">
        <v>1108.53043557463</v>
      </c>
    </row>
    <row r="43" ht="72.5" spans="1:10">
      <c r="A43" s="11"/>
      <c r="B43" s="103"/>
      <c r="C43" s="103"/>
      <c r="D43" s="107" t="s">
        <v>261</v>
      </c>
      <c r="E43" s="108"/>
      <c r="F43" s="108">
        <v>-0.21</v>
      </c>
      <c r="G43" s="108">
        <v>-0.09</v>
      </c>
      <c r="H43" s="108">
        <v>-0.06</v>
      </c>
      <c r="I43" s="108">
        <v>-0.04</v>
      </c>
      <c r="J43" s="108">
        <v>-0.04</v>
      </c>
    </row>
    <row r="44" spans="1:10">
      <c r="A44" s="11"/>
      <c r="B44" s="72"/>
      <c r="C44" s="72"/>
      <c r="D44" s="75"/>
      <c r="E44" s="99"/>
      <c r="F44" s="99"/>
      <c r="G44" s="99"/>
      <c r="H44" s="111"/>
      <c r="I44" s="111"/>
      <c r="J44" s="111"/>
    </row>
    <row r="45" ht="58" spans="1:10">
      <c r="A45" s="11"/>
      <c r="B45" s="112" t="s">
        <v>268</v>
      </c>
      <c r="C45" s="86" t="s">
        <v>79</v>
      </c>
      <c r="D45" s="80" t="s">
        <v>259</v>
      </c>
      <c r="E45" s="87">
        <v>1767.60181583842</v>
      </c>
      <c r="F45" s="87">
        <v>1454.5880452648</v>
      </c>
      <c r="G45" s="87">
        <v>1218.92684757581</v>
      </c>
      <c r="H45" s="87">
        <v>1134.93470124806</v>
      </c>
      <c r="I45" s="145">
        <v>956.667655978857</v>
      </c>
      <c r="J45" s="87">
        <v>988.628122847266</v>
      </c>
    </row>
    <row r="46" ht="72.5" spans="1:10">
      <c r="A46" s="11"/>
      <c r="B46" s="68"/>
      <c r="C46" s="113"/>
      <c r="D46" s="75" t="s">
        <v>261</v>
      </c>
      <c r="E46" s="77"/>
      <c r="F46" s="77">
        <v>-0.18</v>
      </c>
      <c r="G46" s="77">
        <v>-0.16</v>
      </c>
      <c r="H46" s="77">
        <v>-0.07</v>
      </c>
      <c r="I46" s="77">
        <v>-0.16</v>
      </c>
      <c r="J46" s="77">
        <v>0.03</v>
      </c>
    </row>
    <row r="47" spans="1:10">
      <c r="A47" s="11"/>
      <c r="B47" s="68"/>
      <c r="C47" s="113"/>
      <c r="D47" s="75"/>
      <c r="E47" s="111"/>
      <c r="F47" s="111"/>
      <c r="G47" s="111"/>
      <c r="H47" s="111"/>
      <c r="I47" s="146"/>
      <c r="J47" s="111"/>
    </row>
    <row r="48" ht="58" spans="1:10">
      <c r="A48" s="11"/>
      <c r="B48" s="114" t="s">
        <v>69</v>
      </c>
      <c r="C48" s="115" t="s">
        <v>14</v>
      </c>
      <c r="D48" s="116" t="s">
        <v>259</v>
      </c>
      <c r="E48" s="117">
        <v>1767.41908224363</v>
      </c>
      <c r="F48" s="118">
        <v>1460.27830292644</v>
      </c>
      <c r="G48" s="118">
        <v>1268.11350775145</v>
      </c>
      <c r="H48" s="118">
        <v>894.181228286015</v>
      </c>
      <c r="I48" s="118">
        <v>761.3326214106</v>
      </c>
      <c r="J48" s="118">
        <v>726.985591214851</v>
      </c>
    </row>
    <row r="49" ht="72.5" spans="1:10">
      <c r="A49" s="11"/>
      <c r="B49" s="114"/>
      <c r="C49" s="115"/>
      <c r="D49" s="119" t="s">
        <v>261</v>
      </c>
      <c r="E49" s="120"/>
      <c r="F49" s="120">
        <v>-0.17</v>
      </c>
      <c r="G49" s="120">
        <v>-0.13</v>
      </c>
      <c r="H49" s="120">
        <v>-0.29</v>
      </c>
      <c r="I49" s="120">
        <v>-0.15</v>
      </c>
      <c r="J49" s="120">
        <v>-0.05</v>
      </c>
    </row>
    <row r="50" ht="58" spans="1:10">
      <c r="A50" s="11"/>
      <c r="B50" s="114"/>
      <c r="C50" s="121" t="s">
        <v>70</v>
      </c>
      <c r="D50" s="116" t="s">
        <v>259</v>
      </c>
      <c r="E50" s="122">
        <v>2160.36850044114</v>
      </c>
      <c r="F50" s="122">
        <v>2008.52026087412</v>
      </c>
      <c r="G50" s="122">
        <v>1224.34216972249</v>
      </c>
      <c r="H50" s="122">
        <v>1179.62534530087</v>
      </c>
      <c r="I50" s="122">
        <v>920.847862625883</v>
      </c>
      <c r="J50" s="122">
        <v>953.806790727526</v>
      </c>
    </row>
    <row r="51" ht="72.5" spans="1:10">
      <c r="A51" s="11"/>
      <c r="B51" s="114"/>
      <c r="C51" s="123"/>
      <c r="D51" s="119" t="s">
        <v>261</v>
      </c>
      <c r="E51" s="120"/>
      <c r="F51" s="120">
        <v>-0.07</v>
      </c>
      <c r="G51" s="120">
        <v>-0.39</v>
      </c>
      <c r="H51" s="120">
        <v>-0.04</v>
      </c>
      <c r="I51" s="120">
        <v>-0.22</v>
      </c>
      <c r="J51" s="120">
        <v>0.04</v>
      </c>
    </row>
    <row r="52" ht="15.5" spans="1:10">
      <c r="A52" s="11"/>
      <c r="B52" s="68"/>
      <c r="C52" s="69"/>
      <c r="D52" s="11"/>
      <c r="E52" s="124"/>
      <c r="F52" s="124"/>
      <c r="G52" s="124"/>
      <c r="H52" s="124"/>
      <c r="I52" s="124"/>
      <c r="J52" s="11"/>
    </row>
    <row r="53" spans="1:10">
      <c r="A53" s="11"/>
      <c r="B53" s="125"/>
      <c r="C53" s="472" t="s">
        <v>71</v>
      </c>
      <c r="D53" s="126"/>
      <c r="E53" s="126"/>
      <c r="F53" s="126"/>
      <c r="G53" s="126"/>
      <c r="H53" s="126"/>
      <c r="I53" s="126"/>
      <c r="J53" s="126">
        <v>830</v>
      </c>
    </row>
    <row r="57" s="14" customFormat="1" ht="58" spans="1:13">
      <c r="A57" t="s">
        <v>269</v>
      </c>
      <c r="B57" s="127" t="s">
        <v>38</v>
      </c>
      <c r="C57" s="473" t="s">
        <v>50</v>
      </c>
      <c r="D57" s="128" t="s">
        <v>259</v>
      </c>
      <c r="F57" s="129">
        <v>891.340605805875</v>
      </c>
      <c r="G57" s="129">
        <v>876.153711259301</v>
      </c>
      <c r="H57" s="129">
        <v>905.1081242057</v>
      </c>
      <c r="I57" s="129">
        <v>806.950385215959</v>
      </c>
      <c r="J57" s="129">
        <v>670.767173185107</v>
      </c>
      <c r="K57" s="13"/>
      <c r="L57" s="13"/>
      <c r="M57" s="13"/>
    </row>
    <row r="58" ht="58" spans="2:13">
      <c r="B58" s="127"/>
      <c r="C58" s="474" t="s">
        <v>51</v>
      </c>
      <c r="D58" s="128" t="s">
        <v>259</v>
      </c>
      <c r="E58" s="129">
        <v>1402.44036346324</v>
      </c>
      <c r="F58" s="129">
        <v>1071.35436918144</v>
      </c>
      <c r="G58" s="129">
        <v>950.260398218071</v>
      </c>
      <c r="H58" s="129">
        <v>898.613229766655</v>
      </c>
      <c r="I58" s="129">
        <v>715.390291067969</v>
      </c>
      <c r="J58" s="129">
        <v>715.36</v>
      </c>
      <c r="K58" s="13"/>
      <c r="L58" s="13"/>
      <c r="M58" s="13"/>
    </row>
    <row r="62" spans="1:10">
      <c r="A62" t="s">
        <v>270</v>
      </c>
      <c r="B62" s="127" t="s">
        <v>38</v>
      </c>
      <c r="C62" s="475" t="s">
        <v>52</v>
      </c>
      <c r="D62" s="14"/>
      <c r="E62" s="14"/>
      <c r="F62" s="14"/>
      <c r="G62" s="14"/>
      <c r="H62" s="14"/>
      <c r="I62" s="14"/>
      <c r="J62" s="14">
        <v>1078</v>
      </c>
    </row>
    <row r="63" spans="2:10">
      <c r="B63" s="127"/>
      <c r="C63" s="475" t="s">
        <v>53</v>
      </c>
      <c r="D63" s="14"/>
      <c r="E63" s="14"/>
      <c r="F63" s="14"/>
      <c r="G63" s="14"/>
      <c r="H63" s="14"/>
      <c r="I63" s="14"/>
      <c r="J63" s="147">
        <v>965</v>
      </c>
    </row>
    <row r="64" spans="2:10">
      <c r="B64" s="127"/>
      <c r="C64" s="476" t="s">
        <v>54</v>
      </c>
      <c r="D64" s="14"/>
      <c r="E64" s="14"/>
      <c r="F64" s="14"/>
      <c r="G64" s="14"/>
      <c r="H64" s="14"/>
      <c r="I64" s="14"/>
      <c r="J64" s="14">
        <v>854</v>
      </c>
    </row>
    <row r="65" spans="2:10">
      <c r="B65" s="127"/>
      <c r="C65" s="475" t="s">
        <v>55</v>
      </c>
      <c r="D65" s="14"/>
      <c r="E65" s="14"/>
      <c r="F65" s="14"/>
      <c r="G65" s="14"/>
      <c r="H65" s="14"/>
      <c r="I65" s="14"/>
      <c r="J65" s="14">
        <v>844</v>
      </c>
    </row>
    <row r="66" spans="2:2">
      <c r="B66" s="127"/>
    </row>
    <row r="67" spans="2:10">
      <c r="B67" s="127"/>
      <c r="C67" s="475" t="s">
        <v>56</v>
      </c>
      <c r="D67" s="14"/>
      <c r="E67" s="14"/>
      <c r="F67" s="14"/>
      <c r="G67" s="14"/>
      <c r="H67" s="14"/>
      <c r="I67" s="14"/>
      <c r="J67" s="14">
        <v>743</v>
      </c>
    </row>
    <row r="68" spans="2:10">
      <c r="B68" s="127"/>
      <c r="C68" s="475" t="s">
        <v>57</v>
      </c>
      <c r="D68" s="14"/>
      <c r="E68" s="14"/>
      <c r="F68" s="14"/>
      <c r="G68" s="14"/>
      <c r="H68" s="14"/>
      <c r="I68" s="14"/>
      <c r="J68" s="14">
        <v>716</v>
      </c>
    </row>
    <row r="69" spans="2:10">
      <c r="B69" s="127"/>
      <c r="C69" s="475" t="s">
        <v>58</v>
      </c>
      <c r="D69" s="14"/>
      <c r="E69" s="14"/>
      <c r="F69" s="14"/>
      <c r="G69" s="14"/>
      <c r="H69" s="14"/>
      <c r="I69" s="14"/>
      <c r="J69" s="14">
        <v>705</v>
      </c>
    </row>
    <row r="70" spans="2:10">
      <c r="B70" s="127"/>
      <c r="C70" s="476" t="s">
        <v>59</v>
      </c>
      <c r="D70" s="14"/>
      <c r="E70" s="14"/>
      <c r="F70" s="14"/>
      <c r="G70" s="14"/>
      <c r="H70" s="14"/>
      <c r="I70" s="14"/>
      <c r="J70" s="14">
        <v>700</v>
      </c>
    </row>
    <row r="71" spans="2:10">
      <c r="B71" s="127"/>
      <c r="C71" s="14" t="s">
        <v>60</v>
      </c>
      <c r="D71" s="14"/>
      <c r="E71" s="14"/>
      <c r="F71" s="14"/>
      <c r="G71" s="14"/>
      <c r="H71" s="14"/>
      <c r="I71" s="14"/>
      <c r="J71" s="14">
        <v>686</v>
      </c>
    </row>
    <row r="72" spans="2:10">
      <c r="B72" s="127"/>
      <c r="C72" s="475" t="s">
        <v>61</v>
      </c>
      <c r="D72" s="14"/>
      <c r="E72" s="14"/>
      <c r="F72" s="14"/>
      <c r="G72" s="14"/>
      <c r="H72" s="14"/>
      <c r="I72" s="14"/>
      <c r="J72" s="14">
        <v>684</v>
      </c>
    </row>
    <row r="73" spans="2:10">
      <c r="B73" s="127"/>
      <c r="C73" s="14" t="s">
        <v>62</v>
      </c>
      <c r="D73" s="14"/>
      <c r="E73" s="14"/>
      <c r="F73" s="14"/>
      <c r="G73" s="14"/>
      <c r="H73" s="14"/>
      <c r="I73" s="14"/>
      <c r="J73" s="14">
        <v>678</v>
      </c>
    </row>
    <row r="74" spans="2:10">
      <c r="B74" s="127"/>
      <c r="C74" s="475" t="s">
        <v>63</v>
      </c>
      <c r="D74" s="14"/>
      <c r="E74" s="14"/>
      <c r="F74" s="14"/>
      <c r="G74" s="14"/>
      <c r="H74" s="14"/>
      <c r="I74" s="14"/>
      <c r="J74" s="14">
        <v>663</v>
      </c>
    </row>
    <row r="75" spans="2:10">
      <c r="B75" s="127"/>
      <c r="C75" s="475" t="s">
        <v>64</v>
      </c>
      <c r="D75" s="14"/>
      <c r="E75" s="14"/>
      <c r="F75" s="14"/>
      <c r="G75" s="14"/>
      <c r="H75" s="14"/>
      <c r="I75" s="14"/>
      <c r="J75" s="14">
        <v>659</v>
      </c>
    </row>
    <row r="78" spans="2:10">
      <c r="B78" s="42" t="s">
        <v>84</v>
      </c>
      <c r="C78" s="477" t="s">
        <v>80</v>
      </c>
      <c r="D78" s="151"/>
      <c r="E78" s="151"/>
      <c r="F78" s="151"/>
      <c r="G78" s="151"/>
      <c r="H78" s="151"/>
      <c r="I78" s="151"/>
      <c r="J78" s="151">
        <v>798</v>
      </c>
    </row>
    <row r="83" spans="2:10">
      <c r="B83" s="152" t="s">
        <v>76</v>
      </c>
      <c r="C83" s="478" t="s">
        <v>271</v>
      </c>
      <c r="D83" s="152"/>
      <c r="E83" s="152"/>
      <c r="F83" s="152"/>
      <c r="G83" s="152"/>
      <c r="H83" s="152"/>
      <c r="I83" s="152"/>
      <c r="J83" s="152">
        <v>1248</v>
      </c>
    </row>
    <row r="89" spans="2:10">
      <c r="B89" s="63" t="s">
        <v>118</v>
      </c>
      <c r="C89" s="63"/>
      <c r="D89" s="63"/>
      <c r="E89" s="63">
        <f t="shared" ref="E89:J89" si="0">AVERAGE(E11,E13,E15,E17,E45,E78)</f>
        <v>1539.68545289287</v>
      </c>
      <c r="F89" s="63">
        <f t="shared" si="0"/>
        <v>1392.36536539764</v>
      </c>
      <c r="G89" s="63">
        <f t="shared" si="0"/>
        <v>1169.62916230938</v>
      </c>
      <c r="H89" s="63">
        <f t="shared" si="0"/>
        <v>1081.5233176086</v>
      </c>
      <c r="I89" s="63">
        <f t="shared" si="0"/>
        <v>1144.99121822761</v>
      </c>
      <c r="J89" s="63">
        <f t="shared" si="0"/>
        <v>1041.59708734036</v>
      </c>
    </row>
    <row r="90" spans="2:10">
      <c r="B90" s="63" t="s">
        <v>38</v>
      </c>
      <c r="C90" s="63"/>
      <c r="D90" s="63"/>
      <c r="E90" s="63">
        <f t="shared" ref="E90:J90" si="1">AVERAGE(E20,E22,E24,E26,E28,E30,E32,E57,E58,E62:E75)</f>
        <v>1381.92317774904</v>
      </c>
      <c r="F90" s="63">
        <f t="shared" si="1"/>
        <v>1073.22950874843</v>
      </c>
      <c r="G90" s="63">
        <f t="shared" si="1"/>
        <v>952.738889695449</v>
      </c>
      <c r="H90" s="63">
        <f t="shared" si="1"/>
        <v>913.32802959745</v>
      </c>
      <c r="I90" s="63">
        <f t="shared" si="1"/>
        <v>999.609761881256</v>
      </c>
      <c r="J90" s="63">
        <f t="shared" si="1"/>
        <v>768.341997140967</v>
      </c>
    </row>
    <row r="91" spans="2:10">
      <c r="B91" s="63" t="s">
        <v>76</v>
      </c>
      <c r="C91" s="63"/>
      <c r="D91" s="63"/>
      <c r="E91" s="63">
        <f t="shared" ref="E91:J91" si="2">E83</f>
        <v>0</v>
      </c>
      <c r="F91" s="63">
        <f t="shared" si="2"/>
        <v>0</v>
      </c>
      <c r="G91" s="63">
        <f t="shared" si="2"/>
        <v>0</v>
      </c>
      <c r="H91" s="63">
        <f t="shared" si="2"/>
        <v>0</v>
      </c>
      <c r="I91" s="63">
        <f t="shared" si="2"/>
        <v>0</v>
      </c>
      <c r="J91" s="63">
        <f t="shared" si="2"/>
        <v>1248</v>
      </c>
    </row>
    <row r="92" spans="2:10">
      <c r="B92" s="63" t="s">
        <v>72</v>
      </c>
      <c r="C92" s="63"/>
      <c r="D92" s="63"/>
      <c r="E92" s="63">
        <f t="shared" ref="E92:J92" si="3">AVERAGE(E38,E40,E42)</f>
        <v>2115.61242013671</v>
      </c>
      <c r="F92" s="63">
        <f t="shared" si="3"/>
        <v>1497.69457615507</v>
      </c>
      <c r="G92" s="63">
        <f t="shared" si="3"/>
        <v>1254.26974673279</v>
      </c>
      <c r="H92" s="63">
        <f t="shared" si="3"/>
        <v>1124.88174237113</v>
      </c>
      <c r="I92" s="63">
        <f t="shared" si="3"/>
        <v>1049.79227739537</v>
      </c>
      <c r="J92" s="63">
        <f t="shared" si="3"/>
        <v>1164.85658067154</v>
      </c>
    </row>
    <row r="93" spans="2:10">
      <c r="B93" s="63" t="s">
        <v>69</v>
      </c>
      <c r="C93" s="63"/>
      <c r="D93" s="63"/>
      <c r="E93" s="63">
        <f t="shared" ref="E93:J93" si="4">AVERAGE(E48,E50)</f>
        <v>1963.89379134239</v>
      </c>
      <c r="F93" s="63">
        <f t="shared" si="4"/>
        <v>1734.39928190028</v>
      </c>
      <c r="G93" s="63">
        <f t="shared" si="4"/>
        <v>1246.22783873697</v>
      </c>
      <c r="H93" s="63">
        <f t="shared" si="4"/>
        <v>1036.90328679344</v>
      </c>
      <c r="I93" s="63">
        <f t="shared" si="4"/>
        <v>841.090242018241</v>
      </c>
      <c r="J93" s="63">
        <f t="shared" si="4"/>
        <v>840.396190971189</v>
      </c>
    </row>
    <row r="94" spans="2:10">
      <c r="B94" s="63" t="s">
        <v>272</v>
      </c>
      <c r="C94" s="63"/>
      <c r="D94" s="63"/>
      <c r="E94" s="154">
        <f t="shared" ref="E94:J94" si="5">W11</f>
        <v>1404.95526168816</v>
      </c>
      <c r="F94" s="154">
        <f t="shared" si="5"/>
        <v>1160.74327436665</v>
      </c>
      <c r="G94" s="154">
        <f t="shared" si="5"/>
        <v>1019.43211878651</v>
      </c>
      <c r="H94" s="154">
        <f t="shared" si="5"/>
        <v>950.074713653874</v>
      </c>
      <c r="I94" s="154">
        <f t="shared" si="5"/>
        <v>908.020864964591</v>
      </c>
      <c r="J94" s="154">
        <f t="shared" si="5"/>
        <v>757.687831048275</v>
      </c>
    </row>
  </sheetData>
  <mergeCells count="9">
    <mergeCell ref="B8:B9"/>
    <mergeCell ref="B11:B17"/>
    <mergeCell ref="B18:B33"/>
    <mergeCell ref="B35:B36"/>
    <mergeCell ref="B38:B43"/>
    <mergeCell ref="B48:B51"/>
    <mergeCell ref="B57:B58"/>
    <mergeCell ref="B62:B75"/>
    <mergeCell ref="L1:M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9"/>
  <sheetViews>
    <sheetView zoomScale="56" zoomScaleNormal="56" workbookViewId="0">
      <selection activeCell="A23" sqref="A23:A26"/>
    </sheetView>
  </sheetViews>
  <sheetFormatPr defaultColWidth="8.72727272727273" defaultRowHeight="15.5"/>
  <cols>
    <col min="1" max="1" width="76.0909090909091" customWidth="1"/>
    <col min="5" max="5" width="17.2727272727273" style="24" customWidth="1"/>
    <col min="6" max="6" width="25.0909090909091" style="25" customWidth="1"/>
    <col min="7" max="7" width="17.2727272727273" style="26" customWidth="1"/>
    <col min="8" max="8" width="17.2727272727273" style="27" customWidth="1"/>
    <col min="9" max="9" width="17.2727272727273" style="28" customWidth="1"/>
    <col min="10" max="13" width="17.2727272727273" style="26" customWidth="1"/>
  </cols>
  <sheetData>
    <row r="1" spans="1:1">
      <c r="A1" s="29" t="s">
        <v>273</v>
      </c>
    </row>
    <row r="2" spans="1:5">
      <c r="A2" s="30" t="s">
        <v>274</v>
      </c>
      <c r="E2" s="31" t="s">
        <v>275</v>
      </c>
    </row>
    <row r="3" spans="1:13">
      <c r="A3" s="30" t="s">
        <v>276</v>
      </c>
      <c r="E3" s="32" t="s">
        <v>277</v>
      </c>
      <c r="F3" s="33"/>
      <c r="G3" s="33"/>
      <c r="H3" s="33"/>
      <c r="I3" s="33"/>
      <c r="J3" s="33"/>
      <c r="K3" s="33"/>
      <c r="L3" s="33"/>
      <c r="M3" s="56"/>
    </row>
    <row r="4" ht="21" spans="1:13">
      <c r="A4" s="34" t="s">
        <v>278</v>
      </c>
      <c r="E4" s="35" t="s">
        <v>257</v>
      </c>
      <c r="F4" s="35" t="s">
        <v>279</v>
      </c>
      <c r="G4" s="35" t="s">
        <v>280</v>
      </c>
      <c r="H4" s="36" t="s">
        <v>281</v>
      </c>
      <c r="I4" s="57" t="s">
        <v>282</v>
      </c>
      <c r="J4" s="35" t="s">
        <v>283</v>
      </c>
      <c r="K4" s="58" t="s">
        <v>284</v>
      </c>
      <c r="L4" s="58"/>
      <c r="M4" s="58"/>
    </row>
    <row r="5" spans="5:13">
      <c r="E5" s="35"/>
      <c r="F5" s="35"/>
      <c r="G5" s="35"/>
      <c r="H5" s="36"/>
      <c r="I5" s="57"/>
      <c r="J5" s="35"/>
      <c r="K5" s="36">
        <v>0.03</v>
      </c>
      <c r="L5" s="36">
        <v>0.07</v>
      </c>
      <c r="M5" s="36">
        <v>0.1</v>
      </c>
    </row>
    <row r="6" spans="4:13">
      <c r="D6" s="37" t="s">
        <v>38</v>
      </c>
      <c r="E6" s="38" t="s">
        <v>62</v>
      </c>
      <c r="F6" s="39" t="s">
        <v>285</v>
      </c>
      <c r="G6" s="40">
        <v>0.02</v>
      </c>
      <c r="H6" s="41">
        <v>0.114</v>
      </c>
      <c r="I6" s="59">
        <v>0.005</v>
      </c>
      <c r="J6" s="60">
        <v>718.850405932109</v>
      </c>
      <c r="K6" s="60">
        <v>729.55348213275</v>
      </c>
      <c r="L6" s="60">
        <v>743.584641810447</v>
      </c>
      <c r="M6" s="60">
        <v>753.936666252302</v>
      </c>
    </row>
    <row r="7" spans="4:13">
      <c r="D7" s="42" t="s">
        <v>118</v>
      </c>
      <c r="E7" s="43" t="s">
        <v>79</v>
      </c>
      <c r="F7" s="39" t="s">
        <v>286</v>
      </c>
      <c r="G7" s="44">
        <v>100</v>
      </c>
      <c r="H7" s="41">
        <v>0.28</v>
      </c>
      <c r="I7" s="59">
        <v>0.005</v>
      </c>
      <c r="J7" s="60">
        <v>882.015403328721</v>
      </c>
      <c r="K7" s="60">
        <v>895.147868712427</v>
      </c>
      <c r="L7" s="60">
        <v>912.363827499077</v>
      </c>
      <c r="M7" s="60">
        <v>925.065559233527</v>
      </c>
    </row>
    <row r="8" spans="4:13">
      <c r="D8" s="42"/>
      <c r="E8" s="45"/>
      <c r="F8" s="39"/>
      <c r="G8" s="44"/>
      <c r="H8" s="41"/>
      <c r="I8" s="59"/>
      <c r="J8" s="60"/>
      <c r="K8" s="60"/>
      <c r="L8" s="60"/>
      <c r="M8" s="60"/>
    </row>
    <row r="9" spans="4:13">
      <c r="D9" s="46" t="s">
        <v>38</v>
      </c>
      <c r="E9" s="39" t="s">
        <v>287</v>
      </c>
      <c r="F9" s="39" t="s">
        <v>285</v>
      </c>
      <c r="G9" s="40">
        <v>0.01</v>
      </c>
      <c r="H9" s="41">
        <v>0.132</v>
      </c>
      <c r="I9" s="59">
        <v>0.005</v>
      </c>
      <c r="J9" s="60">
        <v>1841.39020238767</v>
      </c>
      <c r="K9" s="60">
        <v>1868.80694930557</v>
      </c>
      <c r="L9" s="60">
        <v>1904.74883616469</v>
      </c>
      <c r="M9" s="60">
        <v>1931.26633719801</v>
      </c>
    </row>
    <row r="10" spans="4:13">
      <c r="D10" s="46"/>
      <c r="E10" s="39"/>
      <c r="F10" s="39" t="s">
        <v>285</v>
      </c>
      <c r="G10" s="40">
        <v>0.01</v>
      </c>
      <c r="H10" s="41">
        <v>0.1236</v>
      </c>
      <c r="I10" s="59">
        <v>0.005</v>
      </c>
      <c r="J10" s="60">
        <v>1345.63130174484</v>
      </c>
      <c r="K10" s="60">
        <v>1365.66661680022</v>
      </c>
      <c r="L10" s="60">
        <v>1391.93184181266</v>
      </c>
      <c r="M10" s="60">
        <v>1411.3100156447</v>
      </c>
    </row>
    <row r="11" spans="4:13">
      <c r="D11" s="46"/>
      <c r="E11" s="39"/>
      <c r="F11" s="39" t="s">
        <v>285</v>
      </c>
      <c r="G11" s="40">
        <v>0.01</v>
      </c>
      <c r="H11" s="41">
        <v>0.1278</v>
      </c>
      <c r="I11" s="59">
        <v>0.005</v>
      </c>
      <c r="J11" s="60">
        <v>1008.51524930771</v>
      </c>
      <c r="K11" s="60">
        <v>1023.53119069659</v>
      </c>
      <c r="L11" s="60">
        <v>1043.21628565328</v>
      </c>
      <c r="M11" s="60">
        <v>1057.73971698845</v>
      </c>
    </row>
    <row r="12" spans="4:13">
      <c r="D12" s="46"/>
      <c r="E12" s="39"/>
      <c r="F12" s="39" t="s">
        <v>286</v>
      </c>
      <c r="G12" s="40">
        <v>1</v>
      </c>
      <c r="H12" s="41">
        <v>0.132</v>
      </c>
      <c r="I12" s="59">
        <v>0.005</v>
      </c>
      <c r="J12" s="60">
        <v>991.517801285668</v>
      </c>
      <c r="K12" s="60">
        <v>1006.28066501069</v>
      </c>
      <c r="L12" s="60">
        <v>1025.63398870407</v>
      </c>
      <c r="M12" s="60">
        <v>1039.91264310662</v>
      </c>
    </row>
    <row r="13" spans="4:13">
      <c r="D13" s="47" t="s">
        <v>116</v>
      </c>
      <c r="E13" s="38" t="s">
        <v>73</v>
      </c>
      <c r="F13" s="39" t="s">
        <v>286</v>
      </c>
      <c r="G13" s="44">
        <v>20</v>
      </c>
      <c r="H13" s="41">
        <v>0.25</v>
      </c>
      <c r="I13" s="59">
        <v>0.005</v>
      </c>
      <c r="J13" s="60">
        <v>1354.4227110835</v>
      </c>
      <c r="K13" s="60">
        <v>1374.58892280847</v>
      </c>
      <c r="L13" s="60">
        <v>1401.02574634433</v>
      </c>
      <c r="M13" s="60">
        <v>1420.53052354698</v>
      </c>
    </row>
    <row r="14" spans="4:13">
      <c r="D14" s="47"/>
      <c r="E14" s="38"/>
      <c r="F14" s="39" t="s">
        <v>286</v>
      </c>
      <c r="G14" s="44">
        <v>20</v>
      </c>
      <c r="H14" s="41">
        <v>0.19</v>
      </c>
      <c r="I14" s="59">
        <v>0.005</v>
      </c>
      <c r="J14" s="60">
        <v>1264.12786367793</v>
      </c>
      <c r="K14" s="60">
        <v>1282.9496612879</v>
      </c>
      <c r="L14" s="60">
        <v>1307.62402992138</v>
      </c>
      <c r="M14" s="60">
        <v>1325.82848864385</v>
      </c>
    </row>
    <row r="15" spans="4:13">
      <c r="D15" s="46" t="s">
        <v>38</v>
      </c>
      <c r="E15" s="38" t="s">
        <v>65</v>
      </c>
      <c r="F15" s="39" t="s">
        <v>285</v>
      </c>
      <c r="G15" s="40">
        <v>0.006</v>
      </c>
      <c r="H15" s="41">
        <v>0.120983554340753</v>
      </c>
      <c r="I15" s="59">
        <v>0.005</v>
      </c>
      <c r="J15" s="60">
        <v>1176.22200681691</v>
      </c>
      <c r="K15" s="60">
        <v>1193.73496036599</v>
      </c>
      <c r="L15" s="60">
        <v>1216.69350453301</v>
      </c>
      <c r="M15" s="60">
        <v>1233.63204816202</v>
      </c>
    </row>
    <row r="16" spans="4:13">
      <c r="D16" s="46"/>
      <c r="E16" s="38"/>
      <c r="F16" s="39" t="s">
        <v>288</v>
      </c>
      <c r="G16" s="40">
        <v>0.1</v>
      </c>
      <c r="H16" s="41">
        <v>0.131016723523973</v>
      </c>
      <c r="I16" s="59">
        <v>0.005</v>
      </c>
      <c r="J16" s="60">
        <v>847.158201492066</v>
      </c>
      <c r="K16" s="60">
        <v>859.771672542152</v>
      </c>
      <c r="L16" s="60">
        <v>876.307257553046</v>
      </c>
      <c r="M16" s="60">
        <v>888.507017524791</v>
      </c>
    </row>
    <row r="17" spans="4:13">
      <c r="D17" s="46"/>
      <c r="E17" s="38"/>
      <c r="F17" s="39" t="s">
        <v>286</v>
      </c>
      <c r="G17" s="44">
        <v>8</v>
      </c>
      <c r="H17" s="41">
        <v>0.161365839041096</v>
      </c>
      <c r="I17" s="59">
        <v>0.005</v>
      </c>
      <c r="J17" s="60">
        <v>534.430838055767</v>
      </c>
      <c r="K17" s="60">
        <v>542.388062446934</v>
      </c>
      <c r="L17" s="60">
        <v>552.819557461147</v>
      </c>
      <c r="M17" s="60">
        <v>560.515791687877</v>
      </c>
    </row>
    <row r="18" spans="4:13">
      <c r="D18" s="46"/>
      <c r="E18" s="38"/>
      <c r="F18" s="39" t="s">
        <v>286</v>
      </c>
      <c r="G18" s="44">
        <v>8</v>
      </c>
      <c r="H18" s="41">
        <v>0.179116081335616</v>
      </c>
      <c r="I18" s="59">
        <v>0.005</v>
      </c>
      <c r="J18" s="60">
        <v>623.20227077712</v>
      </c>
      <c r="K18" s="60">
        <v>632.481226923623</v>
      </c>
      <c r="L18" s="60">
        <v>644.645441481503</v>
      </c>
      <c r="M18" s="60">
        <v>653.620055790774</v>
      </c>
    </row>
    <row r="19" spans="4:13">
      <c r="D19" s="46" t="s">
        <v>38</v>
      </c>
      <c r="E19" s="43" t="s">
        <v>47</v>
      </c>
      <c r="F19" s="39" t="s">
        <v>285</v>
      </c>
      <c r="G19" s="40">
        <v>0.01</v>
      </c>
      <c r="H19" s="41">
        <v>0.1764</v>
      </c>
      <c r="I19" s="59">
        <v>0.005</v>
      </c>
      <c r="J19" s="60">
        <v>1699.744802204</v>
      </c>
      <c r="K19" s="60">
        <v>1725.05256858975</v>
      </c>
      <c r="L19" s="60">
        <v>1758.22969492126</v>
      </c>
      <c r="M19" s="60">
        <v>1782.70738818278</v>
      </c>
    </row>
    <row r="20" spans="4:13">
      <c r="D20" s="46"/>
      <c r="E20" s="48"/>
      <c r="F20" s="39" t="s">
        <v>288</v>
      </c>
      <c r="G20" s="40">
        <v>0.5</v>
      </c>
      <c r="H20" s="41">
        <v>0.1764</v>
      </c>
      <c r="I20" s="59">
        <v>0.005</v>
      </c>
      <c r="J20" s="60">
        <v>849.872401102001</v>
      </c>
      <c r="K20" s="60">
        <v>862.526284294877</v>
      </c>
      <c r="L20" s="60">
        <v>879.114847460628</v>
      </c>
      <c r="M20" s="60">
        <v>891.353694091391</v>
      </c>
    </row>
    <row r="21" spans="4:13">
      <c r="D21" s="46"/>
      <c r="E21" s="45"/>
      <c r="F21" s="39" t="s">
        <v>286</v>
      </c>
      <c r="G21" s="44">
        <v>25</v>
      </c>
      <c r="H21" s="41">
        <v>0.24</v>
      </c>
      <c r="I21" s="59">
        <v>0.005</v>
      </c>
      <c r="J21" s="60">
        <v>708.227000918334</v>
      </c>
      <c r="K21" s="60">
        <v>718.771903579064</v>
      </c>
      <c r="L21" s="60">
        <v>732.59570621719</v>
      </c>
      <c r="M21" s="60">
        <v>742.794745076159</v>
      </c>
    </row>
    <row r="22" spans="4:13">
      <c r="D22" s="46" t="s">
        <v>38</v>
      </c>
      <c r="E22" s="38" t="s">
        <v>52</v>
      </c>
      <c r="F22" s="39" t="s">
        <v>285</v>
      </c>
      <c r="G22" s="49">
        <v>0.00416666666666667</v>
      </c>
      <c r="H22" s="41">
        <v>0.15</v>
      </c>
      <c r="I22" s="59">
        <v>0.005</v>
      </c>
      <c r="J22" s="60">
        <v>1900.7321397414</v>
      </c>
      <c r="K22" s="60">
        <v>1929.03243805212</v>
      </c>
      <c r="L22" s="60">
        <v>1966.13261346714</v>
      </c>
      <c r="M22" s="60">
        <v>1993.50468616216</v>
      </c>
    </row>
    <row r="23" spans="4:13">
      <c r="D23" s="46"/>
      <c r="E23" s="38"/>
      <c r="F23" s="39" t="s">
        <v>288</v>
      </c>
      <c r="G23" s="40">
        <v>0.05</v>
      </c>
      <c r="H23" s="41">
        <v>0.135</v>
      </c>
      <c r="I23" s="59">
        <v>0.005</v>
      </c>
      <c r="J23" s="60">
        <v>1296.76117944974</v>
      </c>
      <c r="K23" s="60">
        <v>1316.06885960565</v>
      </c>
      <c r="L23" s="60">
        <v>1341.38019423459</v>
      </c>
      <c r="M23" s="60">
        <v>1360.05459897045</v>
      </c>
    </row>
    <row r="24" spans="4:13">
      <c r="D24" s="46"/>
      <c r="E24" s="38"/>
      <c r="F24" s="39" t="s">
        <v>288</v>
      </c>
      <c r="G24" s="40">
        <v>0.5</v>
      </c>
      <c r="H24" s="41">
        <v>0.135</v>
      </c>
      <c r="I24" s="59">
        <v>0.005</v>
      </c>
      <c r="J24" s="60">
        <v>1074.71303228369</v>
      </c>
      <c r="K24" s="60">
        <v>1090.71460282386</v>
      </c>
      <c r="L24" s="60">
        <v>1111.69180481086</v>
      </c>
      <c r="M24" s="60">
        <v>1127.16853750291</v>
      </c>
    </row>
    <row r="25" spans="4:13">
      <c r="D25" s="46"/>
      <c r="E25" s="38"/>
      <c r="F25" s="39" t="s">
        <v>286</v>
      </c>
      <c r="G25" s="44">
        <v>20</v>
      </c>
      <c r="H25" s="41">
        <v>0.135</v>
      </c>
      <c r="I25" s="59">
        <v>0.005</v>
      </c>
      <c r="J25" s="60">
        <v>963.688958700662</v>
      </c>
      <c r="K25" s="60">
        <v>978.037474432965</v>
      </c>
      <c r="L25" s="60">
        <v>996.847610098994</v>
      </c>
      <c r="M25" s="60">
        <v>1010.72550676913</v>
      </c>
    </row>
    <row r="26" spans="4:13">
      <c r="D26" s="46" t="s">
        <v>38</v>
      </c>
      <c r="E26" s="38" t="s">
        <v>289</v>
      </c>
      <c r="F26" s="39" t="s">
        <v>288</v>
      </c>
      <c r="G26" s="40">
        <v>0.0833333333333333</v>
      </c>
      <c r="H26" s="41">
        <v>0.195655069271588</v>
      </c>
      <c r="I26" s="59">
        <v>0.005</v>
      </c>
      <c r="J26" s="60">
        <v>1305.53061488156</v>
      </c>
      <c r="K26" s="60">
        <v>1324.96886453411</v>
      </c>
      <c r="L26" s="60">
        <v>1350.45136878028</v>
      </c>
      <c r="M26" s="60">
        <v>1369.25206044479</v>
      </c>
    </row>
    <row r="27" spans="4:13">
      <c r="D27" s="46"/>
      <c r="E27" s="38"/>
      <c r="F27" s="39" t="s">
        <v>288</v>
      </c>
      <c r="G27" s="40">
        <v>0.208333333333333</v>
      </c>
      <c r="H27" s="41">
        <v>0.1716</v>
      </c>
      <c r="I27" s="59">
        <v>0.005</v>
      </c>
      <c r="J27" s="60">
        <v>906.530561175468</v>
      </c>
      <c r="K27" s="60">
        <v>920.028036581203</v>
      </c>
      <c r="L27" s="60">
        <v>937.722503958003</v>
      </c>
      <c r="M27" s="60">
        <v>950.777273697484</v>
      </c>
    </row>
    <row r="28" spans="4:13">
      <c r="D28" s="46"/>
      <c r="E28" s="38"/>
      <c r="F28" s="39" t="s">
        <v>288</v>
      </c>
      <c r="G28" s="40">
        <v>0.416666666666667</v>
      </c>
      <c r="H28" s="41">
        <v>0.195655069271588</v>
      </c>
      <c r="I28" s="59">
        <v>0.005</v>
      </c>
      <c r="J28" s="60">
        <v>1210.15594808221</v>
      </c>
      <c r="K28" s="60">
        <v>1228.17414939377</v>
      </c>
      <c r="L28" s="60">
        <v>1251.79504631799</v>
      </c>
      <c r="M28" s="60">
        <v>1269.22226601436</v>
      </c>
    </row>
    <row r="29" spans="4:13">
      <c r="D29" s="46"/>
      <c r="E29" s="38"/>
      <c r="F29" s="39" t="s">
        <v>285</v>
      </c>
      <c r="G29" s="49">
        <v>0.00416666666666667</v>
      </c>
      <c r="H29" s="41">
        <v>0.195655069271588</v>
      </c>
      <c r="I29" s="59">
        <v>0.005</v>
      </c>
      <c r="J29" s="60">
        <v>1845.82769053735</v>
      </c>
      <c r="K29" s="60">
        <v>1873.31050791082</v>
      </c>
      <c r="L29" s="60">
        <v>1909.33900959868</v>
      </c>
      <c r="M29" s="60">
        <v>1935.92041403305</v>
      </c>
    </row>
    <row r="30" spans="4:13">
      <c r="D30" s="46"/>
      <c r="E30" s="38"/>
      <c r="F30" s="39" t="s">
        <v>285</v>
      </c>
      <c r="G30" s="40">
        <v>0.005</v>
      </c>
      <c r="H30" s="41">
        <v>0.1716</v>
      </c>
      <c r="I30" s="59">
        <v>0.005</v>
      </c>
      <c r="J30" s="60">
        <v>1368.29456577422</v>
      </c>
      <c r="K30" s="60">
        <v>1388.66731771475</v>
      </c>
      <c r="L30" s="60">
        <v>1415.37490441161</v>
      </c>
      <c r="M30" s="60">
        <v>1435.07944748714</v>
      </c>
    </row>
    <row r="31" spans="4:13">
      <c r="D31" s="46"/>
      <c r="E31" s="38"/>
      <c r="F31" s="39" t="s">
        <v>286</v>
      </c>
      <c r="G31" s="40">
        <v>0.833333333333333</v>
      </c>
      <c r="H31" s="41">
        <v>0.1962</v>
      </c>
      <c r="I31" s="59">
        <v>0.005</v>
      </c>
      <c r="J31" s="60">
        <v>827.209137072615</v>
      </c>
      <c r="K31" s="60">
        <v>839.525583380347</v>
      </c>
      <c r="L31" s="60">
        <v>855.671784861678</v>
      </c>
      <c r="M31" s="60">
        <v>867.584262248954</v>
      </c>
    </row>
    <row r="32" spans="4:13">
      <c r="D32" s="46"/>
      <c r="E32" s="38"/>
      <c r="F32" s="39" t="s">
        <v>286</v>
      </c>
      <c r="G32" s="40">
        <v>0.833333333333333</v>
      </c>
      <c r="H32" s="41">
        <v>0.265267040910069</v>
      </c>
      <c r="I32" s="59">
        <v>0.005</v>
      </c>
      <c r="J32" s="60">
        <v>836.200409775921</v>
      </c>
      <c r="K32" s="60">
        <v>848.65072855015</v>
      </c>
      <c r="L32" s="60">
        <v>864.972429665291</v>
      </c>
      <c r="M32" s="60">
        <v>877.014388616492</v>
      </c>
    </row>
    <row r="33" spans="4:13">
      <c r="D33" s="42" t="s">
        <v>118</v>
      </c>
      <c r="E33" s="38" t="s">
        <v>8</v>
      </c>
      <c r="F33" s="39" t="s">
        <v>285</v>
      </c>
      <c r="G33" s="49">
        <v>0.004</v>
      </c>
      <c r="H33" s="41">
        <v>0.12</v>
      </c>
      <c r="I33" s="59">
        <v>0.005</v>
      </c>
      <c r="J33" s="60">
        <v>2332.7401580593</v>
      </c>
      <c r="K33" s="60">
        <v>2367.472691368</v>
      </c>
      <c r="L33" s="60">
        <v>2413.00518237614</v>
      </c>
      <c r="M33" s="60">
        <v>2446.59851825444</v>
      </c>
    </row>
    <row r="34" spans="4:13">
      <c r="D34" s="42"/>
      <c r="E34" s="38"/>
      <c r="F34" s="39" t="s">
        <v>286</v>
      </c>
      <c r="G34" s="44">
        <v>2</v>
      </c>
      <c r="H34" s="41">
        <v>0.14</v>
      </c>
      <c r="I34" s="59">
        <v>0.005</v>
      </c>
      <c r="J34" s="60">
        <v>2006.12228114204</v>
      </c>
      <c r="K34" s="60">
        <v>2035.9917497626</v>
      </c>
      <c r="L34" s="60">
        <v>2075.14902341426</v>
      </c>
      <c r="M34" s="60">
        <v>2104.03879897306</v>
      </c>
    </row>
    <row r="35" spans="4:13">
      <c r="D35" s="42" t="s">
        <v>118</v>
      </c>
      <c r="E35" s="43" t="s">
        <v>290</v>
      </c>
      <c r="F35" s="39" t="s">
        <v>288</v>
      </c>
      <c r="G35" s="40">
        <v>0.099</v>
      </c>
      <c r="H35" s="41">
        <v>0.15</v>
      </c>
      <c r="I35" s="59">
        <v>0.005</v>
      </c>
      <c r="J35" s="60">
        <v>1240.09489955946</v>
      </c>
      <c r="K35" s="60">
        <v>1258.55886660528</v>
      </c>
      <c r="L35" s="60">
        <v>1282.76413853339</v>
      </c>
      <c r="M35" s="60">
        <v>1300.62250322863</v>
      </c>
    </row>
    <row r="36" spans="4:13">
      <c r="D36" s="42"/>
      <c r="E36" s="45"/>
      <c r="F36" s="39" t="s">
        <v>286</v>
      </c>
      <c r="G36" s="40">
        <v>2.97</v>
      </c>
      <c r="H36" s="41">
        <v>0.15</v>
      </c>
      <c r="I36" s="59">
        <v>0.005</v>
      </c>
      <c r="J36" s="60">
        <v>1225.79087810623</v>
      </c>
      <c r="K36" s="60">
        <v>1244.04187033793</v>
      </c>
      <c r="L36" s="60">
        <v>1267.96794369094</v>
      </c>
      <c r="M36" s="60">
        <v>1285.62031896407</v>
      </c>
    </row>
    <row r="37" spans="4:13">
      <c r="D37" s="50" t="s">
        <v>38</v>
      </c>
      <c r="E37" s="38" t="s">
        <v>43</v>
      </c>
      <c r="F37" s="39"/>
      <c r="G37" s="44"/>
      <c r="H37" s="41"/>
      <c r="I37" s="59"/>
      <c r="J37" s="60"/>
      <c r="K37" s="60"/>
      <c r="L37" s="60"/>
      <c r="M37" s="60"/>
    </row>
    <row r="38" spans="4:13">
      <c r="D38" s="50"/>
      <c r="E38" s="38"/>
      <c r="F38" s="39" t="s">
        <v>288</v>
      </c>
      <c r="G38" s="40">
        <v>0.2</v>
      </c>
      <c r="H38" s="41">
        <v>0.1375</v>
      </c>
      <c r="I38" s="59">
        <v>0.005</v>
      </c>
      <c r="J38" s="60">
        <v>845.888624221836</v>
      </c>
      <c r="K38" s="60">
        <v>858.483192337245</v>
      </c>
      <c r="L38" s="60">
        <v>874.993996613156</v>
      </c>
      <c r="M38" s="60">
        <v>887.175473650338</v>
      </c>
    </row>
    <row r="39" spans="4:13">
      <c r="D39" s="50"/>
      <c r="E39" s="38"/>
      <c r="F39" s="39" t="s">
        <v>286</v>
      </c>
      <c r="G39" s="44">
        <v>8</v>
      </c>
      <c r="H39" s="41">
        <v>0.14125</v>
      </c>
      <c r="I39" s="59">
        <v>0.005</v>
      </c>
      <c r="J39" s="60">
        <v>807.378781046901</v>
      </c>
      <c r="K39" s="60">
        <v>819.399970080133</v>
      </c>
      <c r="L39" s="60">
        <v>835.159105087596</v>
      </c>
      <c r="M39" s="60">
        <v>846.786009386821</v>
      </c>
    </row>
    <row r="40" spans="4:13">
      <c r="D40" s="51" t="s">
        <v>38</v>
      </c>
      <c r="E40" s="38" t="s">
        <v>66</v>
      </c>
      <c r="F40" s="39" t="s">
        <v>288</v>
      </c>
      <c r="G40" s="40">
        <v>0.3</v>
      </c>
      <c r="H40" s="41">
        <v>0.102739726027397</v>
      </c>
      <c r="I40" s="59">
        <v>0.005</v>
      </c>
      <c r="J40" s="60">
        <v>983.707347064248</v>
      </c>
      <c r="K40" s="60">
        <v>998.35391971396</v>
      </c>
      <c r="L40" s="60">
        <v>1017.55479203577</v>
      </c>
      <c r="M40" s="60">
        <v>1031.72096961097</v>
      </c>
    </row>
    <row r="41" spans="4:13">
      <c r="D41" s="47" t="s">
        <v>116</v>
      </c>
      <c r="E41" s="38" t="s">
        <v>7</v>
      </c>
      <c r="F41" s="39" t="s">
        <v>285</v>
      </c>
      <c r="G41" s="40">
        <v>0.005</v>
      </c>
      <c r="H41" s="41">
        <v>0.135018521629959</v>
      </c>
      <c r="I41" s="59">
        <v>0.005</v>
      </c>
      <c r="J41" s="60">
        <v>1884.44662255768</v>
      </c>
      <c r="K41" s="60">
        <v>1912.50444325422</v>
      </c>
      <c r="L41" s="60">
        <v>1949.28674350335</v>
      </c>
      <c r="M41" s="60">
        <v>1976.42429164285</v>
      </c>
    </row>
    <row r="42" spans="4:13">
      <c r="D42" s="47"/>
      <c r="E42" s="38"/>
      <c r="F42" s="39" t="s">
        <v>285</v>
      </c>
      <c r="G42" s="40">
        <v>0.005</v>
      </c>
      <c r="H42" s="41">
        <v>0.155888982537929</v>
      </c>
      <c r="I42" s="59">
        <v>0.005</v>
      </c>
      <c r="J42" s="60">
        <v>1884.44662255768</v>
      </c>
      <c r="K42" s="60">
        <v>1912.50444325422</v>
      </c>
      <c r="L42" s="60">
        <v>1949.28674350335</v>
      </c>
      <c r="M42" s="60">
        <v>1976.42429164285</v>
      </c>
    </row>
    <row r="43" spans="4:13">
      <c r="D43" s="47"/>
      <c r="E43" s="38"/>
      <c r="F43" s="39" t="s">
        <v>291</v>
      </c>
      <c r="G43" s="40">
        <v>0.005</v>
      </c>
      <c r="H43" s="41">
        <v>0.166831415055746</v>
      </c>
      <c r="I43" s="59">
        <v>0.005</v>
      </c>
      <c r="J43" s="60">
        <v>1884.44662255768</v>
      </c>
      <c r="K43" s="60">
        <v>1912.50444325422</v>
      </c>
      <c r="L43" s="60">
        <v>1949.28674350335</v>
      </c>
      <c r="M43" s="60">
        <v>1976.42429164285</v>
      </c>
    </row>
    <row r="44" spans="4:13">
      <c r="D44" s="47"/>
      <c r="E44" s="38"/>
      <c r="F44" s="39" t="s">
        <v>285</v>
      </c>
      <c r="G44" s="40">
        <v>0.005</v>
      </c>
      <c r="H44" s="41">
        <v>0.189964934578874</v>
      </c>
      <c r="I44" s="59">
        <v>0.005</v>
      </c>
      <c r="J44" s="60">
        <v>2596.56696869021</v>
      </c>
      <c r="K44" s="60">
        <v>2635.22766067372</v>
      </c>
      <c r="L44" s="60">
        <v>2685.90975732537</v>
      </c>
      <c r="M44" s="60">
        <v>2723.30241162865</v>
      </c>
    </row>
    <row r="45" spans="4:13">
      <c r="D45" s="47"/>
      <c r="E45" s="38"/>
      <c r="F45" s="39" t="s">
        <v>285</v>
      </c>
      <c r="G45" s="40">
        <v>0.005</v>
      </c>
      <c r="H45" s="41">
        <v>0.20750952376814</v>
      </c>
      <c r="I45" s="59">
        <v>0.005</v>
      </c>
      <c r="J45" s="60">
        <v>2596.56696869021</v>
      </c>
      <c r="K45" s="60">
        <v>2635.22766067372</v>
      </c>
      <c r="L45" s="60">
        <v>2685.90975732537</v>
      </c>
      <c r="M45" s="60">
        <v>2723.30241162865</v>
      </c>
    </row>
    <row r="46" spans="4:13">
      <c r="D46" s="47"/>
      <c r="E46" s="38"/>
      <c r="F46" s="39" t="s">
        <v>288</v>
      </c>
      <c r="G46" s="40">
        <v>0.3</v>
      </c>
      <c r="H46" s="41">
        <v>0.130301264086639</v>
      </c>
      <c r="I46" s="59">
        <v>0.005</v>
      </c>
      <c r="J46" s="60">
        <v>1356.67006195393</v>
      </c>
      <c r="K46" s="60">
        <v>1376.86973483774</v>
      </c>
      <c r="L46" s="60">
        <v>1403.35042416078</v>
      </c>
      <c r="M46" s="60">
        <v>1422.88756502483</v>
      </c>
    </row>
    <row r="47" spans="4:13">
      <c r="D47" s="47"/>
      <c r="E47" s="38"/>
      <c r="F47" s="39" t="s">
        <v>288</v>
      </c>
      <c r="G47" s="40">
        <v>0.3</v>
      </c>
      <c r="H47" s="41">
        <v>0.151045923891099</v>
      </c>
      <c r="I47" s="59">
        <v>0.005</v>
      </c>
      <c r="J47" s="60">
        <v>1356.67006195393</v>
      </c>
      <c r="K47" s="60">
        <v>1376.86973483774</v>
      </c>
      <c r="L47" s="60">
        <v>1403.35042416078</v>
      </c>
      <c r="M47" s="60">
        <v>1422.88756502483</v>
      </c>
    </row>
    <row r="48" spans="4:13">
      <c r="D48" s="47"/>
      <c r="E48" s="38"/>
      <c r="F48" s="39" t="s">
        <v>292</v>
      </c>
      <c r="G48" s="40">
        <v>0.3</v>
      </c>
      <c r="H48" s="41">
        <v>0.161111079204455</v>
      </c>
      <c r="I48" s="59">
        <v>0.005</v>
      </c>
      <c r="J48" s="60">
        <v>1356.67006195393</v>
      </c>
      <c r="K48" s="60">
        <v>1376.86973483774</v>
      </c>
      <c r="L48" s="60">
        <v>1403.35042416078</v>
      </c>
      <c r="M48" s="60">
        <v>1422.88756502483</v>
      </c>
    </row>
    <row r="49" spans="4:13">
      <c r="D49" s="47"/>
      <c r="E49" s="38"/>
      <c r="F49" s="39" t="s">
        <v>288</v>
      </c>
      <c r="G49" s="40">
        <v>0.3</v>
      </c>
      <c r="H49" s="41">
        <v>0.188271881605097</v>
      </c>
      <c r="I49" s="59">
        <v>0.005</v>
      </c>
      <c r="J49" s="60">
        <v>1356.67006195393</v>
      </c>
      <c r="K49" s="60">
        <v>1376.86973483774</v>
      </c>
      <c r="L49" s="60">
        <v>1403.35042416078</v>
      </c>
      <c r="M49" s="60">
        <v>1422.88756502483</v>
      </c>
    </row>
    <row r="50" spans="4:13">
      <c r="D50" s="47"/>
      <c r="E50" s="38"/>
      <c r="F50" s="39" t="s">
        <v>288</v>
      </c>
      <c r="G50" s="40">
        <v>0.3</v>
      </c>
      <c r="H50" s="41">
        <v>0.203762236348993</v>
      </c>
      <c r="I50" s="59">
        <v>0.005</v>
      </c>
      <c r="J50" s="60">
        <v>1356.67006195393</v>
      </c>
      <c r="K50" s="60">
        <v>1376.86973483774</v>
      </c>
      <c r="L50" s="60">
        <v>1403.35042416078</v>
      </c>
      <c r="M50" s="60">
        <v>1422.88756502483</v>
      </c>
    </row>
    <row r="51" spans="4:13">
      <c r="D51" s="47"/>
      <c r="E51" s="38"/>
      <c r="F51" s="39" t="s">
        <v>286</v>
      </c>
      <c r="G51" s="44">
        <v>100</v>
      </c>
      <c r="H51" s="41">
        <v>0.228830887528216</v>
      </c>
      <c r="I51" s="59">
        <v>0.005</v>
      </c>
      <c r="J51" s="60">
        <v>1071.6805627544</v>
      </c>
      <c r="K51" s="60">
        <v>1087.63698238114</v>
      </c>
      <c r="L51" s="60">
        <v>1108.55499393877</v>
      </c>
      <c r="M51" s="60">
        <v>1123.98805662878</v>
      </c>
    </row>
    <row r="52" spans="4:13">
      <c r="D52" s="47"/>
      <c r="E52" s="38"/>
      <c r="F52" s="39" t="s">
        <v>286</v>
      </c>
      <c r="G52" s="44">
        <v>100</v>
      </c>
      <c r="H52" s="41">
        <v>0.26368685322621</v>
      </c>
      <c r="I52" s="59">
        <v>0.005</v>
      </c>
      <c r="J52" s="60">
        <v>1071.6805627544</v>
      </c>
      <c r="K52" s="60">
        <v>1087.63698238114</v>
      </c>
      <c r="L52" s="60">
        <v>1108.55499393877</v>
      </c>
      <c r="M52" s="60">
        <v>1123.98805662878</v>
      </c>
    </row>
    <row r="53" spans="4:13">
      <c r="D53" s="47"/>
      <c r="E53" s="38"/>
      <c r="F53" s="39" t="s">
        <v>293</v>
      </c>
      <c r="G53" s="44">
        <v>100</v>
      </c>
      <c r="H53" s="41">
        <v>0.284224147725425</v>
      </c>
      <c r="I53" s="59">
        <v>0.005</v>
      </c>
      <c r="J53" s="60">
        <v>1071.6805627544</v>
      </c>
      <c r="K53" s="60">
        <v>1087.63698238114</v>
      </c>
      <c r="L53" s="60">
        <v>1108.55499393877</v>
      </c>
      <c r="M53" s="60">
        <v>1123.98805662878</v>
      </c>
    </row>
    <row r="54" spans="4:13">
      <c r="D54" s="47"/>
      <c r="E54" s="38"/>
      <c r="F54" s="39" t="s">
        <v>286</v>
      </c>
      <c r="G54" s="44">
        <v>100</v>
      </c>
      <c r="H54" s="41">
        <v>0.330408125904863</v>
      </c>
      <c r="I54" s="59">
        <v>0.005</v>
      </c>
      <c r="J54" s="60">
        <v>1071.6805627544</v>
      </c>
      <c r="K54" s="60">
        <v>1087.63698238114</v>
      </c>
      <c r="L54" s="60">
        <v>1108.55499393877</v>
      </c>
      <c r="M54" s="60">
        <v>1123.98805662878</v>
      </c>
    </row>
    <row r="55" spans="4:13">
      <c r="D55" s="47"/>
      <c r="E55" s="38"/>
      <c r="F55" s="39" t="s">
        <v>286</v>
      </c>
      <c r="G55" s="44">
        <v>100</v>
      </c>
      <c r="H55" s="41">
        <v>0.363584204338207</v>
      </c>
      <c r="I55" s="59">
        <v>0.005</v>
      </c>
      <c r="J55" s="60">
        <v>1071.6805627544</v>
      </c>
      <c r="K55" s="60">
        <v>1087.63698238114</v>
      </c>
      <c r="L55" s="60">
        <v>1108.55499393877</v>
      </c>
      <c r="M55" s="60">
        <v>1123.98805662878</v>
      </c>
    </row>
    <row r="56" spans="4:13">
      <c r="D56" s="47"/>
      <c r="E56" s="38"/>
      <c r="F56" s="39"/>
      <c r="G56" s="44"/>
      <c r="H56" s="41"/>
      <c r="I56" s="59"/>
      <c r="J56" s="60"/>
      <c r="K56" s="60"/>
      <c r="L56" s="60"/>
      <c r="M56" s="60"/>
    </row>
    <row r="57" spans="4:13">
      <c r="D57" s="47"/>
      <c r="E57" s="38"/>
      <c r="F57" s="39"/>
      <c r="G57" s="44"/>
      <c r="H57" s="41"/>
      <c r="I57" s="59"/>
      <c r="J57" s="60"/>
      <c r="K57" s="60"/>
      <c r="L57" s="60"/>
      <c r="M57" s="60"/>
    </row>
    <row r="58" spans="4:13">
      <c r="D58" s="47"/>
      <c r="E58" s="38"/>
      <c r="F58" s="39"/>
      <c r="G58" s="44"/>
      <c r="H58" s="41"/>
      <c r="I58" s="59"/>
      <c r="J58" s="60"/>
      <c r="K58" s="60"/>
      <c r="L58" s="60"/>
      <c r="M58" s="60"/>
    </row>
    <row r="59" spans="5:13">
      <c r="E59" s="52" t="s">
        <v>294</v>
      </c>
      <c r="F59" s="53"/>
      <c r="G59" s="53"/>
      <c r="H59" s="53"/>
      <c r="I59" s="53"/>
      <c r="J59" s="53"/>
      <c r="K59" s="53"/>
      <c r="L59" s="53"/>
      <c r="M59" s="61"/>
    </row>
    <row r="60" spans="4:13">
      <c r="D60" s="54" t="s">
        <v>114</v>
      </c>
      <c r="E60" s="38" t="s">
        <v>14</v>
      </c>
      <c r="F60" s="39" t="s">
        <v>286</v>
      </c>
      <c r="G60" s="44">
        <v>25</v>
      </c>
      <c r="H60" s="41">
        <v>0.3125</v>
      </c>
      <c r="I60" s="59">
        <v>0.005</v>
      </c>
      <c r="J60" s="60">
        <v>1197.37535322573</v>
      </c>
      <c r="K60" s="60">
        <v>1215.20326226019</v>
      </c>
      <c r="L60" s="60">
        <v>1238.57469620056</v>
      </c>
      <c r="M60" s="60">
        <v>1255.81786504401</v>
      </c>
    </row>
    <row r="61" spans="4:13">
      <c r="D61" s="42" t="s">
        <v>118</v>
      </c>
      <c r="E61" s="38" t="s">
        <v>10</v>
      </c>
      <c r="F61" s="39" t="s">
        <v>286</v>
      </c>
      <c r="G61" s="44">
        <v>20</v>
      </c>
      <c r="H61" s="41">
        <v>0.1761</v>
      </c>
      <c r="I61" s="59">
        <v>0.005</v>
      </c>
      <c r="J61" s="60">
        <v>730.42</v>
      </c>
      <c r="K61" s="60">
        <v>741.295337697466</v>
      </c>
      <c r="L61" s="60">
        <v>755.552322971745</v>
      </c>
      <c r="M61" s="60">
        <v>766.070958880442</v>
      </c>
    </row>
    <row r="62" spans="4:13">
      <c r="D62" s="42"/>
      <c r="E62" s="38" t="s">
        <v>11</v>
      </c>
      <c r="F62" s="39" t="s">
        <v>286</v>
      </c>
      <c r="G62" s="44">
        <v>35</v>
      </c>
      <c r="H62" s="41">
        <v>0.2031</v>
      </c>
      <c r="I62" s="59">
        <v>0.005</v>
      </c>
      <c r="J62" s="60">
        <v>628.674823649402</v>
      </c>
      <c r="K62" s="60">
        <v>638.035261492125</v>
      </c>
      <c r="L62" s="60">
        <v>650.30629418986</v>
      </c>
      <c r="M62" s="60">
        <v>659.359717665302</v>
      </c>
    </row>
    <row r="63" spans="5:5">
      <c r="E63" s="55" t="s">
        <v>295</v>
      </c>
    </row>
    <row r="64" spans="5:5">
      <c r="E64" s="55" t="s">
        <v>296</v>
      </c>
    </row>
    <row r="65" spans="5:7">
      <c r="E65" s="55" t="s">
        <v>297</v>
      </c>
      <c r="G65" s="62"/>
    </row>
    <row r="66" spans="5:5">
      <c r="E66" s="55"/>
    </row>
    <row r="68" spans="4:13">
      <c r="D68" s="63" t="s">
        <v>298</v>
      </c>
      <c r="E68" s="64"/>
      <c r="F68" s="65"/>
      <c r="G68" s="66">
        <f>AVERAGE(G7,G34,G36,G61:G62)</f>
        <v>31.994</v>
      </c>
      <c r="H68" s="66">
        <f t="shared" ref="H68:M68" si="0">AVERAGE(H7,H34,H36,H61:H62)</f>
        <v>0.18984</v>
      </c>
      <c r="I68" s="66">
        <f t="shared" si="0"/>
        <v>0.005</v>
      </c>
      <c r="J68" s="66">
        <f t="shared" si="0"/>
        <v>1094.60467724528</v>
      </c>
      <c r="K68" s="66">
        <f t="shared" si="0"/>
        <v>1110.90241760051</v>
      </c>
      <c r="L68" s="66">
        <f t="shared" si="0"/>
        <v>1132.26788235318</v>
      </c>
      <c r="M68" s="66">
        <f t="shared" si="0"/>
        <v>1148.03107074328</v>
      </c>
    </row>
    <row r="69" spans="4:13">
      <c r="D69" s="63" t="s">
        <v>299</v>
      </c>
      <c r="E69" s="64"/>
      <c r="F69" s="65"/>
      <c r="G69" s="66">
        <f>AVERAGE(G33,G35)</f>
        <v>0.0515</v>
      </c>
      <c r="H69" s="66">
        <f t="shared" ref="H69:M69" si="1">AVERAGE(H33,H35)</f>
        <v>0.135</v>
      </c>
      <c r="I69" s="66">
        <f t="shared" si="1"/>
        <v>0.005</v>
      </c>
      <c r="J69" s="66">
        <f t="shared" si="1"/>
        <v>1786.41752880938</v>
      </c>
      <c r="K69" s="66">
        <f t="shared" si="1"/>
        <v>1813.01577898664</v>
      </c>
      <c r="L69" s="66">
        <f t="shared" si="1"/>
        <v>1847.88466045477</v>
      </c>
      <c r="M69" s="66">
        <f t="shared" si="1"/>
        <v>1873.61051074154</v>
      </c>
    </row>
    <row r="70" spans="4:13">
      <c r="D70" s="63" t="s">
        <v>300</v>
      </c>
      <c r="E70" s="64"/>
      <c r="F70" s="65"/>
      <c r="G70" s="66">
        <f>AVERAGE(G17:G18,G21,G25,G31:G32,G39)</f>
        <v>10.0952380952381</v>
      </c>
      <c r="H70" s="66">
        <f t="shared" ref="H70:M70" si="2">AVERAGE(H17:H18,H21,H25,H31:H32,H39)</f>
        <v>0.188314137326683</v>
      </c>
      <c r="I70" s="66">
        <f t="shared" si="2"/>
        <v>0.005</v>
      </c>
      <c r="J70" s="66">
        <f t="shared" si="2"/>
        <v>757.191056621046</v>
      </c>
      <c r="K70" s="66">
        <f t="shared" si="2"/>
        <v>768.46499277046</v>
      </c>
      <c r="L70" s="66">
        <f t="shared" si="2"/>
        <v>783.244519267628</v>
      </c>
      <c r="M70" s="66">
        <f t="shared" si="2"/>
        <v>794.148679939458</v>
      </c>
    </row>
    <row r="71" spans="4:13">
      <c r="D71" s="63" t="s">
        <v>301</v>
      </c>
      <c r="E71" s="64"/>
      <c r="F71" s="65"/>
      <c r="G71" s="66">
        <f>AVERAGE(G6,G9:G11,G15:G16,G19:G20,G22:G24,G26:G30,G38,G40)</f>
        <v>0.135425925925926</v>
      </c>
      <c r="H71" s="66">
        <f t="shared" ref="H71:M71" si="3">AVERAGE(H6,H9:H11,H15:H16,H19:H20,H22:H24,H26:H30,H38,H40)</f>
        <v>0.14958917842816</v>
      </c>
      <c r="I71" s="66">
        <f t="shared" si="3"/>
        <v>0.005</v>
      </c>
      <c r="J71" s="66">
        <f t="shared" si="3"/>
        <v>1234.75145967772</v>
      </c>
      <c r="K71" s="66">
        <f t="shared" si="3"/>
        <v>1253.13586741086</v>
      </c>
      <c r="L71" s="66">
        <f t="shared" si="3"/>
        <v>1277.23684134095</v>
      </c>
      <c r="M71" s="66">
        <f t="shared" si="3"/>
        <v>1295.01825620101</v>
      </c>
    </row>
    <row r="72" spans="4:13">
      <c r="D72" s="63" t="s">
        <v>302</v>
      </c>
      <c r="E72" s="64"/>
      <c r="F72" s="65"/>
      <c r="G72" s="66">
        <f>AVERAGE(G13:G14,G51:G55)</f>
        <v>77.1428571428571</v>
      </c>
      <c r="H72" s="66">
        <f t="shared" ref="H72:M72" si="4">AVERAGE(H13:H14,H51:H55)</f>
        <v>0.272962031246132</v>
      </c>
      <c r="I72" s="66">
        <f t="shared" si="4"/>
        <v>0.005</v>
      </c>
      <c r="J72" s="66">
        <f t="shared" si="4"/>
        <v>1139.56476979049</v>
      </c>
      <c r="K72" s="66">
        <f t="shared" si="4"/>
        <v>1156.5319280003</v>
      </c>
      <c r="L72" s="66">
        <f t="shared" si="4"/>
        <v>1178.77496370851</v>
      </c>
      <c r="M72" s="66">
        <f t="shared" si="4"/>
        <v>1195.18561361925</v>
      </c>
    </row>
    <row r="73" spans="4:13">
      <c r="D73" s="63" t="s">
        <v>303</v>
      </c>
      <c r="E73" s="64"/>
      <c r="F73" s="65"/>
      <c r="G73" s="66">
        <f>AVERAGE(G41:G50)</f>
        <v>0.1525</v>
      </c>
      <c r="H73" s="66">
        <f t="shared" ref="H73:M73" si="5">AVERAGE(H41:H50)</f>
        <v>0.168970576270693</v>
      </c>
      <c r="I73" s="66">
        <f t="shared" si="5"/>
        <v>0.005</v>
      </c>
      <c r="J73" s="66">
        <f t="shared" si="5"/>
        <v>1762.98241148231</v>
      </c>
      <c r="K73" s="66">
        <f t="shared" si="5"/>
        <v>1789.23173252988</v>
      </c>
      <c r="L73" s="66">
        <f t="shared" si="5"/>
        <v>1823.64318659647</v>
      </c>
      <c r="M73" s="66">
        <f t="shared" si="5"/>
        <v>1849.031552331</v>
      </c>
    </row>
    <row r="74" spans="4:13">
      <c r="D74" s="63" t="s">
        <v>304</v>
      </c>
      <c r="E74" s="64"/>
      <c r="F74" s="65"/>
      <c r="G74" s="67">
        <f>G60</f>
        <v>25</v>
      </c>
      <c r="H74" s="67">
        <f t="shared" ref="H74:M74" si="6">H60</f>
        <v>0.3125</v>
      </c>
      <c r="I74" s="67">
        <f t="shared" si="6"/>
        <v>0.005</v>
      </c>
      <c r="J74" s="67">
        <f t="shared" si="6"/>
        <v>1197.37535322573</v>
      </c>
      <c r="K74" s="67">
        <f t="shared" si="6"/>
        <v>1215.20326226019</v>
      </c>
      <c r="L74" s="67">
        <f t="shared" si="6"/>
        <v>1238.57469620056</v>
      </c>
      <c r="M74" s="67">
        <f t="shared" si="6"/>
        <v>1255.81786504401</v>
      </c>
    </row>
    <row r="112" spans="7:13">
      <c r="G112" s="25"/>
      <c r="H112" s="25"/>
      <c r="I112" s="25"/>
      <c r="J112" s="25"/>
      <c r="K112" s="25"/>
      <c r="L112" s="25"/>
      <c r="M112" s="25"/>
    </row>
    <row r="113" spans="7:13">
      <c r="G113" s="25"/>
      <c r="H113" s="25"/>
      <c r="I113" s="25"/>
      <c r="J113" s="25"/>
      <c r="K113" s="25"/>
      <c r="L113" s="25"/>
      <c r="M113" s="25"/>
    </row>
    <row r="114" spans="7:13">
      <c r="G114" s="25"/>
      <c r="H114" s="25"/>
      <c r="I114" s="25"/>
      <c r="J114" s="25"/>
      <c r="K114" s="25"/>
      <c r="L114" s="25"/>
      <c r="M114" s="25"/>
    </row>
    <row r="115" spans="7:13">
      <c r="G115" s="25"/>
      <c r="H115" s="25"/>
      <c r="I115" s="25"/>
      <c r="J115" s="25"/>
      <c r="K115" s="25"/>
      <c r="L115" s="25"/>
      <c r="M115" s="25"/>
    </row>
    <row r="116" spans="7:13">
      <c r="G116" s="25"/>
      <c r="H116" s="25"/>
      <c r="I116" s="25"/>
      <c r="J116" s="25"/>
      <c r="K116" s="25"/>
      <c r="L116" s="25"/>
      <c r="M116" s="25"/>
    </row>
    <row r="117" spans="7:13">
      <c r="G117" s="25"/>
      <c r="H117" s="25"/>
      <c r="I117" s="25"/>
      <c r="J117" s="25"/>
      <c r="K117" s="25"/>
      <c r="L117" s="25"/>
      <c r="M117" s="25"/>
    </row>
    <row r="118" spans="7:13">
      <c r="G118" s="25"/>
      <c r="H118" s="25"/>
      <c r="I118" s="25"/>
      <c r="J118" s="25"/>
      <c r="K118" s="25"/>
      <c r="L118" s="25"/>
      <c r="M118" s="25"/>
    </row>
    <row r="119" spans="7:13">
      <c r="G119" s="25"/>
      <c r="H119" s="25"/>
      <c r="I119" s="25"/>
      <c r="J119" s="25"/>
      <c r="K119" s="25"/>
      <c r="L119" s="25"/>
      <c r="M119" s="25"/>
    </row>
  </sheetData>
  <mergeCells count="32">
    <mergeCell ref="E3:M3"/>
    <mergeCell ref="K4:M4"/>
    <mergeCell ref="E59:M59"/>
    <mergeCell ref="D7:D8"/>
    <mergeCell ref="D9:D12"/>
    <mergeCell ref="D13:D14"/>
    <mergeCell ref="D15:D18"/>
    <mergeCell ref="D19:D21"/>
    <mergeCell ref="D22:D25"/>
    <mergeCell ref="D26:D32"/>
    <mergeCell ref="D33:D34"/>
    <mergeCell ref="D35:D36"/>
    <mergeCell ref="D37:D39"/>
    <mergeCell ref="D41:D58"/>
    <mergeCell ref="D61:D62"/>
    <mergeCell ref="E4:E5"/>
    <mergeCell ref="E7:E8"/>
    <mergeCell ref="E9:E12"/>
    <mergeCell ref="E13:E14"/>
    <mergeCell ref="E15:E18"/>
    <mergeCell ref="E19:E21"/>
    <mergeCell ref="E22:E25"/>
    <mergeCell ref="E26:E32"/>
    <mergeCell ref="E33:E34"/>
    <mergeCell ref="E35:E36"/>
    <mergeCell ref="E37:E39"/>
    <mergeCell ref="E41:E58"/>
    <mergeCell ref="F4:F5"/>
    <mergeCell ref="G4:G5"/>
    <mergeCell ref="H4:H5"/>
    <mergeCell ref="I4:I5"/>
    <mergeCell ref="J4:J5"/>
  </mergeCells>
  <hyperlinks>
    <hyperlink ref="A2" r:id="rId1" display="https://www.iea.org/reports/projected-costs-of-generating-electricity-2020" tooltip="https://www.iea.org/reports/projected-costs-of-generating-electricity-2020"/>
    <hyperlink ref="A3" r:id="rId2" display="www.oecd-nea.org/egc-2020"/>
    <hyperlink ref="E2" location="'Table of contents'!A1" display="Back to the table of content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D401"/>
  <sheetViews>
    <sheetView zoomScale="51" zoomScaleNormal="51" workbookViewId="0">
      <selection activeCell="A412" sqref="A412"/>
    </sheetView>
  </sheetViews>
  <sheetFormatPr defaultColWidth="8.72727272727273" defaultRowHeight="14.5"/>
  <cols>
    <col min="1" max="1" width="93.2727272727273" customWidth="1"/>
    <col min="3" max="4" width="9.81818181818182" style="11"/>
    <col min="5" max="5" width="13.8181818181818" style="11" customWidth="1"/>
    <col min="6" max="6" width="23.7272727272727" style="11" customWidth="1"/>
    <col min="7" max="8" width="9.81818181818182" style="11" customWidth="1"/>
    <col min="9" max="9" width="17.0909090909091" style="11" customWidth="1"/>
    <col min="10" max="10" width="11.7272727272727" style="11" customWidth="1"/>
    <col min="11" max="11" width="10.6363636363636" style="11" customWidth="1"/>
    <col min="12" max="12" width="27.7272727272727" style="11" customWidth="1"/>
    <col min="13" max="13" width="29.1818181818182" style="11" customWidth="1"/>
    <col min="14" max="14" width="35.1818181818182" style="11" customWidth="1"/>
    <col min="15" max="15" width="35.1818181818182" style="11" hidden="1" customWidth="1"/>
    <col min="16" max="16" width="9.81818181818182" style="11" customWidth="1"/>
    <col min="17" max="17" width="14.4545454545455" style="11" customWidth="1"/>
    <col min="18" max="24" width="23.5454545454545" style="11" customWidth="1"/>
    <col min="25" max="27" width="23.5454545454545" style="11"/>
    <col min="28" max="28" width="23.5454545454545" style="11" customWidth="1"/>
    <col min="29" max="30" width="21.4545454545455" style="11" customWidth="1"/>
    <col min="31" max="31" width="15.3636363636364" style="11" customWidth="1"/>
    <col min="32" max="82" width="9.81818181818182" style="11"/>
  </cols>
  <sheetData>
    <row r="1" spans="1:82">
      <c r="A1" s="16" t="s">
        <v>305</v>
      </c>
      <c r="C1" s="18" t="s">
        <v>279</v>
      </c>
      <c r="D1" s="18" t="s">
        <v>306</v>
      </c>
      <c r="E1" s="18" t="s">
        <v>307</v>
      </c>
      <c r="F1" s="18" t="s">
        <v>257</v>
      </c>
      <c r="G1" s="18" t="s">
        <v>308</v>
      </c>
      <c r="H1" s="18" t="s">
        <v>309</v>
      </c>
      <c r="I1" s="19" t="s">
        <v>310</v>
      </c>
      <c r="J1" s="19" t="s">
        <v>311</v>
      </c>
      <c r="K1" s="19" t="s">
        <v>312</v>
      </c>
      <c r="L1" s="19" t="s">
        <v>313</v>
      </c>
      <c r="M1" s="20" t="s">
        <v>314</v>
      </c>
      <c r="N1" s="20" t="s">
        <v>315</v>
      </c>
      <c r="O1" s="20" t="s">
        <v>316</v>
      </c>
      <c r="P1" s="20" t="s">
        <v>317</v>
      </c>
      <c r="Q1" s="12">
        <v>2014</v>
      </c>
      <c r="R1" s="12">
        <v>2015</v>
      </c>
      <c r="S1" s="12">
        <v>2016</v>
      </c>
      <c r="T1" s="12">
        <v>2017</v>
      </c>
      <c r="U1" s="12">
        <v>2018</v>
      </c>
      <c r="V1" s="12">
        <v>2019</v>
      </c>
      <c r="W1" s="12">
        <v>2020</v>
      </c>
      <c r="X1" s="12">
        <v>2021</v>
      </c>
      <c r="Y1" s="12">
        <v>2022</v>
      </c>
      <c r="Z1" s="12">
        <v>2023</v>
      </c>
      <c r="AA1" s="12">
        <v>2024</v>
      </c>
      <c r="AB1" s="12">
        <v>2025</v>
      </c>
      <c r="AC1" s="12">
        <v>2030</v>
      </c>
      <c r="AD1" s="12">
        <v>2040</v>
      </c>
      <c r="AE1" s="12">
        <v>2050</v>
      </c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</row>
    <row r="2" hidden="1"/>
    <row r="3" s="13" customFormat="1" spans="3:82">
      <c r="C3" s="11" t="s">
        <v>318</v>
      </c>
      <c r="D3" s="11" t="s">
        <v>319</v>
      </c>
      <c r="E3" s="11" t="s">
        <v>84</v>
      </c>
      <c r="F3" s="11" t="s">
        <v>80</v>
      </c>
      <c r="G3" s="11" t="s">
        <v>306</v>
      </c>
      <c r="H3" s="11" t="s">
        <v>320</v>
      </c>
      <c r="I3" s="11" t="s">
        <v>321</v>
      </c>
      <c r="J3" s="11" t="s">
        <v>88</v>
      </c>
      <c r="K3" s="11" t="s">
        <v>322</v>
      </c>
      <c r="L3" s="11" t="s">
        <v>323</v>
      </c>
      <c r="M3" s="11" t="s">
        <v>324</v>
      </c>
      <c r="N3" s="11" t="s">
        <v>325</v>
      </c>
      <c r="O3" s="11" t="s">
        <v>326</v>
      </c>
      <c r="P3" s="11"/>
      <c r="Q3" s="11"/>
      <c r="R3" s="11"/>
      <c r="S3" s="11"/>
      <c r="T3" s="11"/>
      <c r="U3" s="11"/>
      <c r="V3" s="11">
        <v>2492.445</v>
      </c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</row>
    <row r="4" s="13" customFormat="1" spans="3:82">
      <c r="C4" s="11" t="s">
        <v>318</v>
      </c>
      <c r="D4" s="11" t="s">
        <v>327</v>
      </c>
      <c r="E4" s="11" t="s">
        <v>84</v>
      </c>
      <c r="F4" s="11" t="s">
        <v>80</v>
      </c>
      <c r="G4" s="11" t="s">
        <v>306</v>
      </c>
      <c r="H4" s="11" t="s">
        <v>320</v>
      </c>
      <c r="I4" s="11" t="s">
        <v>321</v>
      </c>
      <c r="J4" s="11" t="s">
        <v>88</v>
      </c>
      <c r="K4" s="11" t="s">
        <v>322</v>
      </c>
      <c r="L4" s="11" t="s">
        <v>323</v>
      </c>
      <c r="M4" s="11" t="s">
        <v>324</v>
      </c>
      <c r="N4" s="11" t="s">
        <v>328</v>
      </c>
      <c r="O4" s="11" t="s">
        <v>326</v>
      </c>
      <c r="P4" s="11"/>
      <c r="Q4" s="11"/>
      <c r="R4" s="11"/>
      <c r="S4" s="11"/>
      <c r="T4" s="11"/>
      <c r="U4" s="11"/>
      <c r="V4" s="11">
        <v>2016.36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</row>
    <row r="5" s="13" customFormat="1" spans="3:82">
      <c r="C5" s="11" t="s">
        <v>318</v>
      </c>
      <c r="D5" s="11" t="s">
        <v>329</v>
      </c>
      <c r="E5" s="11" t="s">
        <v>84</v>
      </c>
      <c r="F5" s="11" t="s">
        <v>81</v>
      </c>
      <c r="G5" s="11" t="s">
        <v>330</v>
      </c>
      <c r="H5" s="11" t="s">
        <v>331</v>
      </c>
      <c r="I5" s="11" t="s">
        <v>321</v>
      </c>
      <c r="J5" s="11" t="s">
        <v>88</v>
      </c>
      <c r="K5" s="11" t="s">
        <v>322</v>
      </c>
      <c r="L5" s="11" t="s">
        <v>323</v>
      </c>
      <c r="M5" s="11" t="s">
        <v>324</v>
      </c>
      <c r="N5" s="11" t="s">
        <v>332</v>
      </c>
      <c r="O5" s="11" t="s">
        <v>326</v>
      </c>
      <c r="P5" s="11"/>
      <c r="Q5" s="11"/>
      <c r="R5" s="11"/>
      <c r="S5" s="11"/>
      <c r="T5" s="11"/>
      <c r="U5" s="11"/>
      <c r="V5" s="11">
        <v>1635.492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</row>
    <row r="6" s="13" customFormat="1" spans="3:82">
      <c r="C6" s="11" t="s">
        <v>318</v>
      </c>
      <c r="D6" s="11" t="s">
        <v>333</v>
      </c>
      <c r="E6" s="11" t="s">
        <v>84</v>
      </c>
      <c r="F6" s="11" t="s">
        <v>81</v>
      </c>
      <c r="G6" s="11" t="s">
        <v>330</v>
      </c>
      <c r="H6" s="11" t="s">
        <v>331</v>
      </c>
      <c r="I6" s="11" t="s">
        <v>321</v>
      </c>
      <c r="J6" s="11" t="s">
        <v>88</v>
      </c>
      <c r="K6" s="11" t="s">
        <v>322</v>
      </c>
      <c r="L6" s="11" t="s">
        <v>323</v>
      </c>
      <c r="M6" s="11" t="s">
        <v>324</v>
      </c>
      <c r="N6" s="11" t="s">
        <v>334</v>
      </c>
      <c r="O6" s="11" t="s">
        <v>326</v>
      </c>
      <c r="P6" s="11"/>
      <c r="Q6" s="11"/>
      <c r="R6" s="11"/>
      <c r="S6" s="11"/>
      <c r="T6" s="11"/>
      <c r="U6" s="11"/>
      <c r="V6" s="11">
        <v>2890.116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</row>
    <row r="7" s="13" customFormat="1" spans="3:82">
      <c r="C7" s="11" t="s">
        <v>318</v>
      </c>
      <c r="D7" s="11" t="s">
        <v>335</v>
      </c>
      <c r="E7" s="11" t="s">
        <v>84</v>
      </c>
      <c r="F7" s="11" t="s">
        <v>82</v>
      </c>
      <c r="G7" s="11" t="s">
        <v>336</v>
      </c>
      <c r="H7" s="11" t="s">
        <v>337</v>
      </c>
      <c r="I7" s="11" t="s">
        <v>321</v>
      </c>
      <c r="J7" s="11" t="s">
        <v>88</v>
      </c>
      <c r="K7" s="11" t="s">
        <v>322</v>
      </c>
      <c r="L7" s="11" t="s">
        <v>323</v>
      </c>
      <c r="M7" s="11" t="s">
        <v>324</v>
      </c>
      <c r="N7" s="11" t="s">
        <v>338</v>
      </c>
      <c r="O7" s="11" t="s">
        <v>326</v>
      </c>
      <c r="P7" s="11"/>
      <c r="Q7" s="11"/>
      <c r="R7" s="11"/>
      <c r="S7" s="11"/>
      <c r="T7" s="11"/>
      <c r="U7" s="11"/>
      <c r="V7" s="11">
        <v>2643.672</v>
      </c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</row>
    <row r="8" s="13" customFormat="1" spans="3:82">
      <c r="C8" s="11" t="s">
        <v>318</v>
      </c>
      <c r="D8" s="11" t="s">
        <v>339</v>
      </c>
      <c r="E8" s="11" t="s">
        <v>84</v>
      </c>
      <c r="F8" s="11" t="s">
        <v>82</v>
      </c>
      <c r="G8" s="11" t="s">
        <v>336</v>
      </c>
      <c r="H8" s="11" t="s">
        <v>337</v>
      </c>
      <c r="I8" s="11" t="s">
        <v>321</v>
      </c>
      <c r="J8" s="11" t="s">
        <v>88</v>
      </c>
      <c r="K8" s="11" t="s">
        <v>322</v>
      </c>
      <c r="L8" s="11" t="s">
        <v>323</v>
      </c>
      <c r="M8" s="11" t="s">
        <v>324</v>
      </c>
      <c r="N8" s="11" t="s">
        <v>340</v>
      </c>
      <c r="O8" s="11" t="s">
        <v>326</v>
      </c>
      <c r="P8" s="11"/>
      <c r="Q8" s="11"/>
      <c r="R8" s="11"/>
      <c r="S8" s="11"/>
      <c r="T8" s="11"/>
      <c r="U8" s="11"/>
      <c r="V8" s="11">
        <v>1814.724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</row>
    <row r="9" s="13" customFormat="1" spans="3:82">
      <c r="C9" s="11" t="s">
        <v>318</v>
      </c>
      <c r="D9" s="11" t="s">
        <v>341</v>
      </c>
      <c r="E9" s="11" t="s">
        <v>84</v>
      </c>
      <c r="F9" s="11" t="s">
        <v>83</v>
      </c>
      <c r="G9" s="11" t="s">
        <v>342</v>
      </c>
      <c r="H9" s="11" t="s">
        <v>343</v>
      </c>
      <c r="I9" s="11" t="s">
        <v>321</v>
      </c>
      <c r="J9" s="11" t="s">
        <v>88</v>
      </c>
      <c r="K9" s="11" t="s">
        <v>322</v>
      </c>
      <c r="L9" s="11" t="s">
        <v>323</v>
      </c>
      <c r="M9" s="11" t="s">
        <v>324</v>
      </c>
      <c r="N9" s="11" t="s">
        <v>325</v>
      </c>
      <c r="O9" s="11" t="s">
        <v>326</v>
      </c>
      <c r="P9" s="11"/>
      <c r="Q9" s="11"/>
      <c r="R9" s="11"/>
      <c r="S9" s="11"/>
      <c r="T9" s="11"/>
      <c r="U9" s="11"/>
      <c r="V9" s="11">
        <v>2094.774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</row>
    <row r="10" s="13" customFormat="1" spans="3:82">
      <c r="C10" s="11" t="s">
        <v>318</v>
      </c>
      <c r="D10" s="11" t="s">
        <v>344</v>
      </c>
      <c r="E10" s="11" t="s">
        <v>84</v>
      </c>
      <c r="F10" s="11" t="s">
        <v>83</v>
      </c>
      <c r="G10" s="11" t="s">
        <v>342</v>
      </c>
      <c r="H10" s="11" t="s">
        <v>343</v>
      </c>
      <c r="I10" s="11" t="s">
        <v>321</v>
      </c>
      <c r="J10" s="11" t="s">
        <v>88</v>
      </c>
      <c r="K10" s="11" t="s">
        <v>322</v>
      </c>
      <c r="L10" s="11" t="s">
        <v>323</v>
      </c>
      <c r="M10" s="11" t="s">
        <v>324</v>
      </c>
      <c r="N10" s="11" t="s">
        <v>328</v>
      </c>
      <c r="O10" s="11" t="s">
        <v>326</v>
      </c>
      <c r="P10" s="11"/>
      <c r="Q10" s="11"/>
      <c r="R10" s="11"/>
      <c r="S10" s="11"/>
      <c r="T10" s="11"/>
      <c r="U10" s="11"/>
      <c r="V10" s="11">
        <v>2419.632</v>
      </c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</row>
    <row r="11" s="13" customFormat="1" spans="3:82">
      <c r="C11" s="11" t="s">
        <v>318</v>
      </c>
      <c r="D11" s="11" t="s">
        <v>345</v>
      </c>
      <c r="E11" s="11" t="s">
        <v>84</v>
      </c>
      <c r="F11" s="11"/>
      <c r="G11" s="11"/>
      <c r="H11" s="11"/>
      <c r="I11" s="11" t="s">
        <v>321</v>
      </c>
      <c r="J11" s="11" t="s">
        <v>88</v>
      </c>
      <c r="K11" s="11" t="s">
        <v>322</v>
      </c>
      <c r="L11" s="11" t="s">
        <v>323</v>
      </c>
      <c r="M11" s="11" t="s">
        <v>324</v>
      </c>
      <c r="N11" s="11" t="s">
        <v>346</v>
      </c>
      <c r="O11" s="11" t="s">
        <v>326</v>
      </c>
      <c r="P11" s="11"/>
      <c r="Q11" s="11"/>
      <c r="R11" s="11"/>
      <c r="S11" s="11"/>
      <c r="T11" s="11"/>
      <c r="U11" s="11"/>
      <c r="V11" s="11">
        <v>2254.9626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</row>
    <row r="12" hidden="1" spans="13:14">
      <c r="M12" s="11" t="s">
        <v>324</v>
      </c>
      <c r="N12" s="11" t="s">
        <v>347</v>
      </c>
    </row>
    <row r="13" hidden="1"/>
    <row r="14" hidden="1"/>
    <row r="15" hidden="1" spans="3:22">
      <c r="C15" s="11" t="s">
        <v>318</v>
      </c>
      <c r="D15" s="11" t="s">
        <v>348</v>
      </c>
      <c r="E15" s="11" t="s">
        <v>72</v>
      </c>
      <c r="F15" s="11" t="s">
        <v>349</v>
      </c>
      <c r="G15" s="11" t="s">
        <v>350</v>
      </c>
      <c r="H15" s="11" t="s">
        <v>37</v>
      </c>
      <c r="I15" s="11" t="s">
        <v>321</v>
      </c>
      <c r="J15" s="11" t="s">
        <v>88</v>
      </c>
      <c r="K15" s="11" t="s">
        <v>322</v>
      </c>
      <c r="L15" s="11" t="s">
        <v>351</v>
      </c>
      <c r="M15" s="11" t="s">
        <v>352</v>
      </c>
      <c r="O15" s="11" t="s">
        <v>326</v>
      </c>
      <c r="V15" s="11">
        <v>1470.8226</v>
      </c>
    </row>
    <row r="16" hidden="1"/>
    <row r="17" hidden="1" spans="3:26">
      <c r="C17" s="11" t="s">
        <v>318</v>
      </c>
      <c r="D17" s="11" t="s">
        <v>353</v>
      </c>
      <c r="E17" s="11" t="s">
        <v>72</v>
      </c>
      <c r="F17" s="11" t="s">
        <v>349</v>
      </c>
      <c r="G17" s="11" t="s">
        <v>350</v>
      </c>
      <c r="H17" s="11" t="s">
        <v>37</v>
      </c>
      <c r="I17" s="11" t="s">
        <v>321</v>
      </c>
      <c r="J17" s="11" t="s">
        <v>88</v>
      </c>
      <c r="K17" s="11" t="s">
        <v>322</v>
      </c>
      <c r="L17" s="11" t="s">
        <v>351</v>
      </c>
      <c r="M17" s="11" t="s">
        <v>354</v>
      </c>
      <c r="O17" s="11" t="s">
        <v>355</v>
      </c>
      <c r="Z17" s="11">
        <v>1502</v>
      </c>
    </row>
    <row r="18" hidden="1"/>
    <row r="19" s="13" customFormat="1" hidden="1" spans="3:82">
      <c r="C19" s="11" t="s">
        <v>318</v>
      </c>
      <c r="D19" s="11" t="s">
        <v>356</v>
      </c>
      <c r="E19" s="11" t="s">
        <v>268</v>
      </c>
      <c r="F19" s="11" t="s">
        <v>79</v>
      </c>
      <c r="G19" s="11" t="s">
        <v>357</v>
      </c>
      <c r="H19" s="11" t="s">
        <v>358</v>
      </c>
      <c r="I19" s="11" t="s">
        <v>321</v>
      </c>
      <c r="J19" s="11" t="s">
        <v>88</v>
      </c>
      <c r="K19" s="11" t="s">
        <v>322</v>
      </c>
      <c r="L19" s="11" t="s">
        <v>323</v>
      </c>
      <c r="M19" s="11" t="s">
        <v>359</v>
      </c>
      <c r="N19" s="11" t="s">
        <v>360</v>
      </c>
      <c r="O19" s="11" t="s">
        <v>361</v>
      </c>
      <c r="P19" s="11"/>
      <c r="Q19" s="11"/>
      <c r="R19" s="11"/>
      <c r="S19" s="11"/>
      <c r="T19" s="11"/>
      <c r="U19" s="11"/>
      <c r="V19" s="11"/>
      <c r="W19" s="11"/>
      <c r="X19" s="11"/>
      <c r="Y19" s="11">
        <v>1033.2756</v>
      </c>
      <c r="Z19" s="11">
        <v>996.4668</v>
      </c>
      <c r="AA19" s="11">
        <v>924.8211</v>
      </c>
      <c r="AB19" s="11">
        <v>855.1473</v>
      </c>
      <c r="AC19" s="11">
        <v>695.4234</v>
      </c>
      <c r="AD19" s="11">
        <v>551.4747</v>
      </c>
      <c r="AE19" s="11">
        <v>444.3348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</row>
    <row r="20" s="13" customFormat="1" hidden="1" spans="3:82">
      <c r="C20" s="11" t="s">
        <v>318</v>
      </c>
      <c r="D20" s="11" t="s">
        <v>362</v>
      </c>
      <c r="E20" s="11" t="s">
        <v>268</v>
      </c>
      <c r="F20" s="11" t="s">
        <v>79</v>
      </c>
      <c r="G20" s="11" t="s">
        <v>357</v>
      </c>
      <c r="H20" s="11" t="s">
        <v>358</v>
      </c>
      <c r="I20" s="11" t="s">
        <v>321</v>
      </c>
      <c r="J20" s="11" t="s">
        <v>88</v>
      </c>
      <c r="K20" s="11" t="s">
        <v>322</v>
      </c>
      <c r="L20" s="11" t="s">
        <v>323</v>
      </c>
      <c r="M20" s="11" t="s">
        <v>359</v>
      </c>
      <c r="N20" s="11" t="s">
        <v>363</v>
      </c>
      <c r="O20" s="11" t="s">
        <v>361</v>
      </c>
      <c r="P20" s="11"/>
      <c r="Q20" s="11"/>
      <c r="R20" s="11"/>
      <c r="S20" s="11"/>
      <c r="T20" s="11"/>
      <c r="U20" s="11"/>
      <c r="V20" s="11"/>
      <c r="W20" s="11"/>
      <c r="X20" s="11"/>
      <c r="Y20" s="11">
        <v>1033.2756</v>
      </c>
      <c r="Z20" s="11">
        <v>996.4668</v>
      </c>
      <c r="AA20" s="11">
        <v>935.9952</v>
      </c>
      <c r="AB20" s="11">
        <v>886.0404</v>
      </c>
      <c r="AC20" s="11">
        <v>703.9683</v>
      </c>
      <c r="AD20" s="11">
        <v>429.2169</v>
      </c>
      <c r="AE20" s="11">
        <v>337.1949</v>
      </c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</row>
    <row r="21" s="13" customFormat="1" hidden="1" spans="3:82">
      <c r="C21" s="11" t="s">
        <v>318</v>
      </c>
      <c r="D21" s="11" t="s">
        <v>364</v>
      </c>
      <c r="E21" s="11" t="s">
        <v>268</v>
      </c>
      <c r="F21" s="11" t="s">
        <v>79</v>
      </c>
      <c r="G21" s="11" t="s">
        <v>357</v>
      </c>
      <c r="H21" s="11" t="s">
        <v>358</v>
      </c>
      <c r="I21" s="11" t="s">
        <v>321</v>
      </c>
      <c r="J21" s="11" t="s">
        <v>88</v>
      </c>
      <c r="K21" s="11" t="s">
        <v>322</v>
      </c>
      <c r="L21" s="11" t="s">
        <v>323</v>
      </c>
      <c r="M21" s="11" t="s">
        <v>359</v>
      </c>
      <c r="N21" s="11" t="s">
        <v>365</v>
      </c>
      <c r="O21" s="11" t="s">
        <v>361</v>
      </c>
      <c r="P21" s="11"/>
      <c r="Q21" s="11"/>
      <c r="R21" s="11"/>
      <c r="S21" s="11"/>
      <c r="T21" s="11"/>
      <c r="U21" s="11"/>
      <c r="V21" s="11"/>
      <c r="W21" s="11"/>
      <c r="X21" s="11"/>
      <c r="Y21" s="11">
        <v>1033.2756</v>
      </c>
      <c r="Z21" s="11">
        <v>996.4668</v>
      </c>
      <c r="AA21" s="11">
        <v>935.9952</v>
      </c>
      <c r="AB21" s="11">
        <v>886.0404</v>
      </c>
      <c r="AC21" s="11">
        <v>703.9683</v>
      </c>
      <c r="AD21" s="11">
        <v>451.5651</v>
      </c>
      <c r="AE21" s="11">
        <v>385.1778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</row>
    <row r="22" hidden="1"/>
    <row r="23" hidden="1"/>
    <row r="24" hidden="1"/>
    <row r="25" s="13" customFormat="1" spans="3:82">
      <c r="C25" s="11" t="s">
        <v>318</v>
      </c>
      <c r="D25" s="11" t="s">
        <v>366</v>
      </c>
      <c r="E25" s="11" t="s">
        <v>84</v>
      </c>
      <c r="F25" s="11" t="s">
        <v>11</v>
      </c>
      <c r="G25" s="11" t="s">
        <v>120</v>
      </c>
      <c r="H25" s="11" t="s">
        <v>367</v>
      </c>
      <c r="I25" s="11" t="s">
        <v>321</v>
      </c>
      <c r="J25" s="11" t="s">
        <v>88</v>
      </c>
      <c r="K25" s="11" t="s">
        <v>322</v>
      </c>
      <c r="L25" s="11" t="s">
        <v>323</v>
      </c>
      <c r="M25" s="11" t="s">
        <v>368</v>
      </c>
      <c r="N25" s="11" t="s">
        <v>369</v>
      </c>
      <c r="O25" s="11" t="s">
        <v>370</v>
      </c>
      <c r="P25" s="11"/>
      <c r="Q25" s="11"/>
      <c r="R25" s="11"/>
      <c r="S25" s="11"/>
      <c r="T25" s="11"/>
      <c r="U25" s="11"/>
      <c r="V25" s="11"/>
      <c r="W25" s="11">
        <v>609.1165</v>
      </c>
      <c r="X25" s="11"/>
      <c r="Y25" s="11"/>
      <c r="Z25" s="11"/>
      <c r="AA25" s="11"/>
      <c r="AB25" s="11"/>
      <c r="AC25" s="11">
        <v>430.8385</v>
      </c>
      <c r="AD25" s="11">
        <v>297.13</v>
      </c>
      <c r="AE25" s="11">
        <v>252.5605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</row>
    <row r="26" hidden="1" spans="3:28">
      <c r="C26" s="11" t="s">
        <v>318</v>
      </c>
      <c r="D26" s="11" t="s">
        <v>371</v>
      </c>
      <c r="E26" s="11" t="s">
        <v>13</v>
      </c>
      <c r="F26" s="11" t="s">
        <v>258</v>
      </c>
      <c r="G26" s="11" t="s">
        <v>372</v>
      </c>
      <c r="H26" s="11" t="s">
        <v>373</v>
      </c>
      <c r="I26" s="11" t="s">
        <v>321</v>
      </c>
      <c r="J26" s="11" t="s">
        <v>88</v>
      </c>
      <c r="K26" s="11" t="s">
        <v>322</v>
      </c>
      <c r="L26" s="11" t="s">
        <v>351</v>
      </c>
      <c r="M26" s="11" t="s">
        <v>374</v>
      </c>
      <c r="O26" s="11" t="s">
        <v>375</v>
      </c>
      <c r="T26" s="11">
        <v>1263.9549</v>
      </c>
      <c r="W26" s="11">
        <v>894.92417</v>
      </c>
      <c r="AB26" s="11">
        <v>840.0544</v>
      </c>
    </row>
    <row r="27" hidden="1"/>
    <row r="28" hidden="1"/>
    <row r="29" hidden="1"/>
    <row r="30" hidden="1"/>
    <row r="31" hidden="1" spans="13:13">
      <c r="M31" s="11" t="s">
        <v>376</v>
      </c>
    </row>
    <row r="32" hidden="1" spans="13:13">
      <c r="M32" s="11" t="s">
        <v>376</v>
      </c>
    </row>
    <row r="33" hidden="1" spans="13:13">
      <c r="M33" s="11" t="s">
        <v>376</v>
      </c>
    </row>
    <row r="34" hidden="1" spans="13:13">
      <c r="M34" s="11" t="s">
        <v>376</v>
      </c>
    </row>
    <row r="35" hidden="1" spans="13:13">
      <c r="M35" s="11" t="s">
        <v>376</v>
      </c>
    </row>
    <row r="36" hidden="1" spans="13:13">
      <c r="M36" s="11" t="s">
        <v>376</v>
      </c>
    </row>
    <row r="37" hidden="1" spans="13:13">
      <c r="M37" s="11" t="s">
        <v>376</v>
      </c>
    </row>
    <row r="38" hidden="1" spans="13:13">
      <c r="M38" s="11" t="s">
        <v>376</v>
      </c>
    </row>
    <row r="39" hidden="1" spans="13:13">
      <c r="M39" s="11" t="s">
        <v>376</v>
      </c>
    </row>
    <row r="40" hidden="1" spans="13:13">
      <c r="M40" s="11" t="s">
        <v>376</v>
      </c>
    </row>
    <row r="41" hidden="1" spans="13:13">
      <c r="M41" s="11" t="s">
        <v>376</v>
      </c>
    </row>
    <row r="42" hidden="1" spans="13:13">
      <c r="M42" s="11" t="s">
        <v>376</v>
      </c>
    </row>
    <row r="43" hidden="1" spans="13:13">
      <c r="M43" s="11" t="s">
        <v>376</v>
      </c>
    </row>
    <row r="44" hidden="1" spans="13:13">
      <c r="M44" s="11" t="s">
        <v>377</v>
      </c>
    </row>
    <row r="45" hidden="1" spans="13:13">
      <c r="M45" s="11" t="s">
        <v>377</v>
      </c>
    </row>
    <row r="46" hidden="1" spans="13:13">
      <c r="M46" s="11" t="s">
        <v>377</v>
      </c>
    </row>
    <row r="47" hidden="1" spans="13:13">
      <c r="M47" s="11" t="s">
        <v>377</v>
      </c>
    </row>
    <row r="48" hidden="1" spans="13:13">
      <c r="M48" s="11" t="s">
        <v>377</v>
      </c>
    </row>
    <row r="49" hidden="1" spans="13:13">
      <c r="M49" s="11" t="s">
        <v>377</v>
      </c>
    </row>
    <row r="50" hidden="1" spans="13:13">
      <c r="M50" s="11" t="s">
        <v>377</v>
      </c>
    </row>
    <row r="51" hidden="1" spans="13:13">
      <c r="M51" s="11" t="s">
        <v>377</v>
      </c>
    </row>
    <row r="52" hidden="1" spans="13:13">
      <c r="M52" s="11" t="s">
        <v>377</v>
      </c>
    </row>
    <row r="53" hidden="1" spans="13:13">
      <c r="M53" s="11" t="s">
        <v>377</v>
      </c>
    </row>
    <row r="54" hidden="1" spans="13:13">
      <c r="M54" s="11" t="s">
        <v>377</v>
      </c>
    </row>
    <row r="55" hidden="1" spans="13:13">
      <c r="M55" s="11" t="s">
        <v>377</v>
      </c>
    </row>
    <row r="56" hidden="1" spans="13:13">
      <c r="M56" s="11" t="s">
        <v>377</v>
      </c>
    </row>
    <row r="57" hidden="1" spans="13:13">
      <c r="M57" s="11" t="s">
        <v>377</v>
      </c>
    </row>
    <row r="58" hidden="1" spans="13:13">
      <c r="M58" s="11" t="s">
        <v>377</v>
      </c>
    </row>
    <row r="59" hidden="1" spans="13:13">
      <c r="M59" s="11" t="s">
        <v>377</v>
      </c>
    </row>
    <row r="60" hidden="1" spans="13:13">
      <c r="M60" s="11" t="s">
        <v>377</v>
      </c>
    </row>
    <row r="61" hidden="1" spans="13:13">
      <c r="M61" s="11" t="s">
        <v>377</v>
      </c>
    </row>
    <row r="62" hidden="1" spans="13:13">
      <c r="M62" s="11" t="s">
        <v>377</v>
      </c>
    </row>
    <row r="63" hidden="1" spans="13:13">
      <c r="M63" s="11" t="s">
        <v>377</v>
      </c>
    </row>
    <row r="64" hidden="1" spans="13:13">
      <c r="M64" s="11" t="s">
        <v>377</v>
      </c>
    </row>
    <row r="65" hidden="1" spans="13:13">
      <c r="M65" s="11" t="s">
        <v>377</v>
      </c>
    </row>
    <row r="66" hidden="1" spans="3:22">
      <c r="C66" s="11" t="s">
        <v>318</v>
      </c>
      <c r="D66" s="11" t="s">
        <v>378</v>
      </c>
      <c r="E66" s="11" t="s">
        <v>38</v>
      </c>
      <c r="F66" s="11" t="s">
        <v>43</v>
      </c>
      <c r="G66" s="11" t="s">
        <v>379</v>
      </c>
      <c r="H66" s="11" t="s">
        <v>380</v>
      </c>
      <c r="I66" s="11" t="s">
        <v>321</v>
      </c>
      <c r="J66" s="11" t="s">
        <v>88</v>
      </c>
      <c r="K66" s="11" t="s">
        <v>322</v>
      </c>
      <c r="L66" s="11" t="s">
        <v>323</v>
      </c>
      <c r="M66" s="11" t="s">
        <v>381</v>
      </c>
      <c r="N66" s="11" t="s">
        <v>382</v>
      </c>
      <c r="O66" s="11" t="s">
        <v>383</v>
      </c>
      <c r="V66" s="11">
        <v>756.0133</v>
      </c>
    </row>
    <row r="67" hidden="1" spans="3:22">
      <c r="C67" s="11" t="s">
        <v>318</v>
      </c>
      <c r="D67" s="11" t="s">
        <v>384</v>
      </c>
      <c r="E67" s="11" t="s">
        <v>38</v>
      </c>
      <c r="F67" s="11" t="s">
        <v>43</v>
      </c>
      <c r="G67" s="11" t="s">
        <v>379</v>
      </c>
      <c r="H67" s="11" t="s">
        <v>380</v>
      </c>
      <c r="I67" s="11" t="s">
        <v>321</v>
      </c>
      <c r="J67" s="11" t="s">
        <v>88</v>
      </c>
      <c r="K67" s="11" t="s">
        <v>322</v>
      </c>
      <c r="L67" s="11" t="s">
        <v>323</v>
      </c>
      <c r="M67" s="11" t="s">
        <v>381</v>
      </c>
      <c r="N67" s="11" t="s">
        <v>385</v>
      </c>
      <c r="O67" s="11" t="s">
        <v>383</v>
      </c>
      <c r="V67" s="11">
        <v>787.017</v>
      </c>
    </row>
    <row r="68" hidden="1" spans="3:22">
      <c r="C68" s="11" t="s">
        <v>318</v>
      </c>
      <c r="D68" s="11" t="s">
        <v>386</v>
      </c>
      <c r="E68" s="11" t="s">
        <v>38</v>
      </c>
      <c r="F68" s="11" t="s">
        <v>43</v>
      </c>
      <c r="G68" s="11" t="s">
        <v>379</v>
      </c>
      <c r="H68" s="11" t="s">
        <v>380</v>
      </c>
      <c r="I68" s="11" t="s">
        <v>321</v>
      </c>
      <c r="J68" s="11" t="s">
        <v>88</v>
      </c>
      <c r="K68" s="11" t="s">
        <v>322</v>
      </c>
      <c r="L68" s="11" t="s">
        <v>323</v>
      </c>
      <c r="M68" s="11" t="s">
        <v>381</v>
      </c>
      <c r="N68" s="11" t="s">
        <v>387</v>
      </c>
      <c r="O68" s="11" t="s">
        <v>383</v>
      </c>
      <c r="V68" s="11">
        <v>819.21315</v>
      </c>
    </row>
    <row r="69" hidden="1"/>
    <row r="70" hidden="1" spans="3:23">
      <c r="C70" s="11" t="s">
        <v>318</v>
      </c>
      <c r="D70" s="11" t="s">
        <v>388</v>
      </c>
      <c r="E70" s="11" t="s">
        <v>38</v>
      </c>
      <c r="F70" s="11" t="s">
        <v>6</v>
      </c>
      <c r="I70" s="11" t="s">
        <v>321</v>
      </c>
      <c r="J70" s="11" t="s">
        <v>88</v>
      </c>
      <c r="K70" s="11" t="s">
        <v>322</v>
      </c>
      <c r="L70" s="11" t="s">
        <v>323</v>
      </c>
      <c r="M70" s="11" t="s">
        <v>389</v>
      </c>
      <c r="N70" s="11" t="s">
        <v>390</v>
      </c>
      <c r="O70" s="11" t="s">
        <v>391</v>
      </c>
      <c r="W70" s="11">
        <v>860.4987</v>
      </c>
    </row>
    <row r="71" hidden="1"/>
    <row r="72" hidden="1" spans="3:23">
      <c r="C72" s="11" t="s">
        <v>318</v>
      </c>
      <c r="D72" s="11" t="s">
        <v>392</v>
      </c>
      <c r="E72" s="11" t="s">
        <v>38</v>
      </c>
      <c r="F72" s="11" t="s">
        <v>6</v>
      </c>
      <c r="I72" s="11" t="s">
        <v>321</v>
      </c>
      <c r="J72" s="11" t="s">
        <v>88</v>
      </c>
      <c r="K72" s="11" t="s">
        <v>322</v>
      </c>
      <c r="L72" s="11" t="s">
        <v>323</v>
      </c>
      <c r="M72" s="11" t="s">
        <v>389</v>
      </c>
      <c r="N72" s="11" t="s">
        <v>393</v>
      </c>
      <c r="O72" s="11" t="s">
        <v>391</v>
      </c>
      <c r="W72" s="11">
        <v>848.379</v>
      </c>
    </row>
    <row r="73" hidden="1"/>
    <row r="74" hidden="1" spans="3:23">
      <c r="C74" s="11" t="s">
        <v>318</v>
      </c>
      <c r="D74" s="11" t="s">
        <v>394</v>
      </c>
      <c r="E74" s="11" t="s">
        <v>38</v>
      </c>
      <c r="F74" s="11" t="s">
        <v>6</v>
      </c>
      <c r="I74" s="11" t="s">
        <v>321</v>
      </c>
      <c r="J74" s="11" t="s">
        <v>88</v>
      </c>
      <c r="K74" s="11" t="s">
        <v>322</v>
      </c>
      <c r="L74" s="11" t="s">
        <v>323</v>
      </c>
      <c r="M74" s="11" t="s">
        <v>389</v>
      </c>
      <c r="N74" s="11" t="s">
        <v>395</v>
      </c>
      <c r="O74" s="11" t="s">
        <v>391</v>
      </c>
      <c r="W74" s="11">
        <v>873.83037</v>
      </c>
    </row>
    <row r="75" hidden="1"/>
    <row r="76" hidden="1" spans="3:23">
      <c r="C76" s="11" t="s">
        <v>318</v>
      </c>
      <c r="D76" s="11" t="s">
        <v>396</v>
      </c>
      <c r="E76" s="11" t="s">
        <v>87</v>
      </c>
      <c r="F76" s="11" t="s">
        <v>87</v>
      </c>
      <c r="I76" s="11" t="s">
        <v>321</v>
      </c>
      <c r="J76" s="11" t="s">
        <v>88</v>
      </c>
      <c r="K76" s="11" t="s">
        <v>322</v>
      </c>
      <c r="L76" s="11" t="s">
        <v>351</v>
      </c>
      <c r="M76" s="11" t="s">
        <v>397</v>
      </c>
      <c r="N76" s="11" t="s">
        <v>382</v>
      </c>
      <c r="O76" s="11" t="s">
        <v>398</v>
      </c>
      <c r="R76" s="11">
        <v>1405.1296</v>
      </c>
      <c r="W76" s="11">
        <v>890.7518</v>
      </c>
    </row>
    <row r="77" hidden="1" spans="3:23">
      <c r="C77" s="11" t="s">
        <v>318</v>
      </c>
      <c r="D77" s="11" t="s">
        <v>399</v>
      </c>
      <c r="E77" s="11" t="s">
        <v>87</v>
      </c>
      <c r="F77" s="11" t="s">
        <v>87</v>
      </c>
      <c r="I77" s="11" t="s">
        <v>321</v>
      </c>
      <c r="J77" s="11" t="s">
        <v>88</v>
      </c>
      <c r="K77" s="11" t="s">
        <v>322</v>
      </c>
      <c r="L77" s="11" t="s">
        <v>351</v>
      </c>
      <c r="M77" s="11" t="s">
        <v>397</v>
      </c>
      <c r="N77" s="11" t="s">
        <v>400</v>
      </c>
      <c r="O77" s="11" t="s">
        <v>398</v>
      </c>
      <c r="R77" s="11">
        <v>1405.1296</v>
      </c>
      <c r="W77" s="11">
        <v>1141.6678</v>
      </c>
    </row>
    <row r="78" hidden="1" spans="3:23">
      <c r="C78" s="11" t="s">
        <v>318</v>
      </c>
      <c r="D78" s="11" t="s">
        <v>401</v>
      </c>
      <c r="E78" s="11" t="s">
        <v>87</v>
      </c>
      <c r="F78" s="11" t="s">
        <v>87</v>
      </c>
      <c r="I78" s="11" t="s">
        <v>321</v>
      </c>
      <c r="J78" s="11" t="s">
        <v>88</v>
      </c>
      <c r="K78" s="11" t="s">
        <v>322</v>
      </c>
      <c r="L78" s="11" t="s">
        <v>351</v>
      </c>
      <c r="M78" s="11" t="s">
        <v>397</v>
      </c>
      <c r="N78" s="11" t="s">
        <v>387</v>
      </c>
      <c r="O78" s="11" t="s">
        <v>398</v>
      </c>
      <c r="R78" s="11">
        <v>1405.1296</v>
      </c>
      <c r="W78" s="11">
        <v>1267.1258</v>
      </c>
    </row>
    <row r="79" hidden="1"/>
    <row r="80" hidden="1"/>
    <row r="81" hidden="1"/>
    <row r="82" hidden="1" spans="3:23">
      <c r="C82" s="11" t="s">
        <v>318</v>
      </c>
      <c r="D82" s="11" t="s">
        <v>402</v>
      </c>
      <c r="E82" s="11" t="s">
        <v>87</v>
      </c>
      <c r="F82" s="11" t="s">
        <v>87</v>
      </c>
      <c r="I82" s="11" t="s">
        <v>321</v>
      </c>
      <c r="J82" s="11" t="s">
        <v>88</v>
      </c>
      <c r="K82" s="11" t="s">
        <v>322</v>
      </c>
      <c r="L82" s="11" t="s">
        <v>403</v>
      </c>
      <c r="M82" s="11" t="s">
        <v>397</v>
      </c>
      <c r="N82" s="11" t="s">
        <v>382</v>
      </c>
      <c r="O82" s="11" t="s">
        <v>398</v>
      </c>
      <c r="R82" s="11">
        <v>1279.6716</v>
      </c>
      <c r="W82" s="11">
        <v>815.477</v>
      </c>
    </row>
    <row r="83" hidden="1" spans="3:23">
      <c r="C83" s="11" t="s">
        <v>318</v>
      </c>
      <c r="D83" s="11" t="s">
        <v>404</v>
      </c>
      <c r="E83" s="11" t="s">
        <v>87</v>
      </c>
      <c r="F83" s="11" t="s">
        <v>87</v>
      </c>
      <c r="I83" s="11" t="s">
        <v>321</v>
      </c>
      <c r="J83" s="11" t="s">
        <v>88</v>
      </c>
      <c r="K83" s="11" t="s">
        <v>322</v>
      </c>
      <c r="L83" s="11" t="s">
        <v>403</v>
      </c>
      <c r="M83" s="11" t="s">
        <v>397</v>
      </c>
      <c r="N83" s="11" t="s">
        <v>400</v>
      </c>
      <c r="O83" s="11" t="s">
        <v>398</v>
      </c>
      <c r="R83" s="11">
        <v>1279.6716</v>
      </c>
      <c r="W83" s="11">
        <v>1041.3014</v>
      </c>
    </row>
    <row r="84" hidden="1" spans="3:23">
      <c r="C84" s="11" t="s">
        <v>318</v>
      </c>
      <c r="D84" s="11" t="s">
        <v>405</v>
      </c>
      <c r="E84" s="11" t="s">
        <v>87</v>
      </c>
      <c r="F84" s="11" t="s">
        <v>87</v>
      </c>
      <c r="I84" s="11" t="s">
        <v>321</v>
      </c>
      <c r="J84" s="11" t="s">
        <v>88</v>
      </c>
      <c r="K84" s="11" t="s">
        <v>322</v>
      </c>
      <c r="L84" s="11" t="s">
        <v>403</v>
      </c>
      <c r="M84" s="11" t="s">
        <v>397</v>
      </c>
      <c r="N84" s="11" t="s">
        <v>387</v>
      </c>
      <c r="O84" s="11" t="s">
        <v>398</v>
      </c>
      <c r="R84" s="11">
        <v>1279.6716</v>
      </c>
      <c r="W84" s="11">
        <v>1154.2136</v>
      </c>
    </row>
    <row r="85" hidden="1"/>
    <row r="86" hidden="1"/>
    <row r="87" hidden="1"/>
    <row r="88" hidden="1"/>
    <row r="89" hidden="1" spans="3:24">
      <c r="C89" s="11" t="s">
        <v>318</v>
      </c>
      <c r="D89" s="11" t="s">
        <v>406</v>
      </c>
      <c r="E89" s="11" t="s">
        <v>38</v>
      </c>
      <c r="F89" s="11" t="s">
        <v>44</v>
      </c>
      <c r="G89" s="11" t="s">
        <v>407</v>
      </c>
      <c r="H89" s="11" t="s">
        <v>408</v>
      </c>
      <c r="I89" s="11" t="s">
        <v>321</v>
      </c>
      <c r="J89" s="11" t="s">
        <v>88</v>
      </c>
      <c r="K89" s="11" t="s">
        <v>322</v>
      </c>
      <c r="L89" s="11" t="s">
        <v>323</v>
      </c>
      <c r="M89" s="11" t="s">
        <v>409</v>
      </c>
      <c r="N89" s="11" t="s">
        <v>410</v>
      </c>
      <c r="O89" s="11" t="s">
        <v>411</v>
      </c>
      <c r="X89" s="11">
        <v>603.9244</v>
      </c>
    </row>
    <row r="90" hidden="1" spans="3:24">
      <c r="C90" s="11" t="s">
        <v>318</v>
      </c>
      <c r="D90" s="11" t="s">
        <v>412</v>
      </c>
      <c r="E90" s="11" t="s">
        <v>38</v>
      </c>
      <c r="F90" s="11" t="s">
        <v>44</v>
      </c>
      <c r="G90" s="11" t="s">
        <v>407</v>
      </c>
      <c r="H90" s="11" t="s">
        <v>408</v>
      </c>
      <c r="I90" s="11" t="s">
        <v>321</v>
      </c>
      <c r="J90" s="11" t="s">
        <v>88</v>
      </c>
      <c r="K90" s="11" t="s">
        <v>322</v>
      </c>
      <c r="L90" s="11" t="s">
        <v>323</v>
      </c>
      <c r="M90" s="11" t="s">
        <v>409</v>
      </c>
      <c r="N90" s="11" t="s">
        <v>413</v>
      </c>
      <c r="O90" s="11" t="s">
        <v>411</v>
      </c>
      <c r="X90" s="11">
        <v>911.584</v>
      </c>
    </row>
    <row r="91" hidden="1"/>
    <row r="92" hidden="1" spans="13:14">
      <c r="M92" s="11" t="s">
        <v>409</v>
      </c>
      <c r="N92" s="11" t="s">
        <v>414</v>
      </c>
    </row>
    <row r="93" hidden="1" spans="13:14">
      <c r="M93" s="11" t="s">
        <v>415</v>
      </c>
      <c r="N93" s="11" t="s">
        <v>416</v>
      </c>
    </row>
    <row r="94" hidden="1" spans="13:14">
      <c r="M94" s="11" t="s">
        <v>415</v>
      </c>
      <c r="N94" s="11" t="s">
        <v>417</v>
      </c>
    </row>
    <row r="95" hidden="1" spans="13:14">
      <c r="M95" s="11" t="s">
        <v>415</v>
      </c>
      <c r="N95" s="11" t="s">
        <v>418</v>
      </c>
    </row>
    <row r="96" hidden="1" spans="13:14">
      <c r="M96" s="11" t="s">
        <v>415</v>
      </c>
      <c r="N96" s="11" t="s">
        <v>416</v>
      </c>
    </row>
    <row r="97" hidden="1" spans="13:14">
      <c r="M97" s="11" t="s">
        <v>415</v>
      </c>
      <c r="N97" s="11" t="s">
        <v>417</v>
      </c>
    </row>
    <row r="98" hidden="1" spans="13:14">
      <c r="M98" s="11" t="s">
        <v>415</v>
      </c>
      <c r="N98" s="11" t="s">
        <v>418</v>
      </c>
    </row>
    <row r="99" hidden="1" spans="13:14">
      <c r="M99" s="11" t="s">
        <v>415</v>
      </c>
      <c r="N99" s="11" t="s">
        <v>416</v>
      </c>
    </row>
    <row r="100" hidden="1" spans="13:14">
      <c r="M100" s="11" t="s">
        <v>415</v>
      </c>
      <c r="N100" s="11" t="s">
        <v>417</v>
      </c>
    </row>
    <row r="101" hidden="1" spans="13:14">
      <c r="M101" s="11" t="s">
        <v>415</v>
      </c>
      <c r="N101" s="11" t="s">
        <v>418</v>
      </c>
    </row>
    <row r="102" hidden="1" spans="13:14">
      <c r="M102" s="11" t="s">
        <v>415</v>
      </c>
      <c r="N102" s="11" t="s">
        <v>416</v>
      </c>
    </row>
    <row r="103" hidden="1" spans="13:14">
      <c r="M103" s="11" t="s">
        <v>415</v>
      </c>
      <c r="N103" s="11" t="s">
        <v>417</v>
      </c>
    </row>
    <row r="104" hidden="1" spans="13:14">
      <c r="M104" s="11" t="s">
        <v>415</v>
      </c>
      <c r="N104" s="11" t="s">
        <v>418</v>
      </c>
    </row>
    <row r="105" hidden="1" spans="13:14">
      <c r="M105" s="11" t="s">
        <v>415</v>
      </c>
      <c r="N105" s="11" t="s">
        <v>416</v>
      </c>
    </row>
    <row r="106" hidden="1" spans="13:14">
      <c r="M106" s="11" t="s">
        <v>415</v>
      </c>
      <c r="N106" s="11" t="s">
        <v>417</v>
      </c>
    </row>
    <row r="107" hidden="1" spans="13:14">
      <c r="M107" s="11" t="s">
        <v>415</v>
      </c>
      <c r="N107" s="11" t="s">
        <v>418</v>
      </c>
    </row>
    <row r="108" hidden="1" spans="7:11">
      <c r="G108" s="11" t="s">
        <v>350</v>
      </c>
      <c r="H108" s="11" t="s">
        <v>37</v>
      </c>
      <c r="I108" s="11" t="s">
        <v>321</v>
      </c>
      <c r="J108" s="11" t="s">
        <v>88</v>
      </c>
      <c r="K108" s="11" t="s">
        <v>322</v>
      </c>
    </row>
    <row r="109" hidden="1"/>
    <row r="110" hidden="1" spans="7:11">
      <c r="G110" s="11" t="s">
        <v>350</v>
      </c>
      <c r="H110" s="11" t="s">
        <v>37</v>
      </c>
      <c r="I110" s="11" t="s">
        <v>321</v>
      </c>
      <c r="J110" s="11" t="s">
        <v>88</v>
      </c>
      <c r="K110" s="11" t="s">
        <v>322</v>
      </c>
    </row>
    <row r="111" hidden="1"/>
    <row r="112" hidden="1" spans="7:11">
      <c r="G112" s="11" t="s">
        <v>350</v>
      </c>
      <c r="H112" s="11" t="s">
        <v>37</v>
      </c>
      <c r="I112" s="11" t="s">
        <v>321</v>
      </c>
      <c r="J112" s="11" t="s">
        <v>88</v>
      </c>
      <c r="K112" s="11" t="s">
        <v>322</v>
      </c>
    </row>
    <row r="113" hidden="1"/>
    <row r="114" hidden="1" spans="9:11">
      <c r="I114" s="11" t="s">
        <v>321</v>
      </c>
      <c r="J114" s="11" t="s">
        <v>88</v>
      </c>
      <c r="K114" s="11" t="s">
        <v>322</v>
      </c>
    </row>
    <row r="115" hidden="1"/>
    <row r="116" hidden="1" spans="9:11">
      <c r="I116" s="11" t="s">
        <v>321</v>
      </c>
      <c r="J116" s="11" t="s">
        <v>88</v>
      </c>
      <c r="K116" s="11" t="s">
        <v>322</v>
      </c>
    </row>
    <row r="117" hidden="1"/>
    <row r="118" hidden="1" spans="9:11">
      <c r="I118" s="11" t="s">
        <v>321</v>
      </c>
      <c r="J118" s="11" t="s">
        <v>88</v>
      </c>
      <c r="K118" s="11" t="s">
        <v>322</v>
      </c>
    </row>
    <row r="119" hidden="1"/>
    <row r="120" hidden="1" spans="7:11">
      <c r="G120" s="11" t="s">
        <v>67</v>
      </c>
      <c r="H120" s="11" t="s">
        <v>419</v>
      </c>
      <c r="I120" s="11" t="s">
        <v>321</v>
      </c>
      <c r="J120" s="11" t="s">
        <v>88</v>
      </c>
      <c r="K120" s="11" t="s">
        <v>322</v>
      </c>
    </row>
    <row r="121" hidden="1"/>
    <row r="122" hidden="1" spans="7:11">
      <c r="G122" s="11" t="s">
        <v>67</v>
      </c>
      <c r="H122" s="11" t="s">
        <v>419</v>
      </c>
      <c r="I122" s="11" t="s">
        <v>321</v>
      </c>
      <c r="J122" s="11" t="s">
        <v>88</v>
      </c>
      <c r="K122" s="11" t="s">
        <v>322</v>
      </c>
    </row>
    <row r="123" hidden="1"/>
    <row r="124" hidden="1" spans="7:11">
      <c r="G124" s="11" t="s">
        <v>67</v>
      </c>
      <c r="H124" s="11" t="s">
        <v>419</v>
      </c>
      <c r="I124" s="11" t="s">
        <v>321</v>
      </c>
      <c r="J124" s="11" t="s">
        <v>88</v>
      </c>
      <c r="K124" s="11" t="s">
        <v>322</v>
      </c>
    </row>
    <row r="125" hidden="1"/>
    <row r="126" hidden="1" spans="7:11">
      <c r="G126" s="11" t="s">
        <v>120</v>
      </c>
      <c r="H126" s="11" t="s">
        <v>367</v>
      </c>
      <c r="I126" s="11" t="s">
        <v>321</v>
      </c>
      <c r="J126" s="11" t="s">
        <v>88</v>
      </c>
      <c r="K126" s="11" t="s">
        <v>322</v>
      </c>
    </row>
    <row r="127" hidden="1"/>
    <row r="128" hidden="1" spans="7:11">
      <c r="G128" s="11" t="s">
        <v>120</v>
      </c>
      <c r="H128" s="11" t="s">
        <v>367</v>
      </c>
      <c r="I128" s="11" t="s">
        <v>321</v>
      </c>
      <c r="J128" s="11" t="s">
        <v>88</v>
      </c>
      <c r="K128" s="11" t="s">
        <v>322</v>
      </c>
    </row>
    <row r="129" hidden="1"/>
    <row r="130" hidden="1" spans="7:11">
      <c r="G130" s="11" t="s">
        <v>120</v>
      </c>
      <c r="H130" s="11" t="s">
        <v>367</v>
      </c>
      <c r="I130" s="11" t="s">
        <v>321</v>
      </c>
      <c r="J130" s="11" t="s">
        <v>88</v>
      </c>
      <c r="K130" s="11" t="s">
        <v>322</v>
      </c>
    </row>
    <row r="131" hidden="1"/>
    <row r="132" hidden="1" spans="3:22">
      <c r="C132" s="11" t="s">
        <v>318</v>
      </c>
      <c r="D132" s="11" t="s">
        <v>420</v>
      </c>
      <c r="E132" s="11" t="s">
        <v>13</v>
      </c>
      <c r="F132" s="11" t="s">
        <v>258</v>
      </c>
      <c r="G132" s="11" t="s">
        <v>372</v>
      </c>
      <c r="H132" s="11" t="s">
        <v>373</v>
      </c>
      <c r="I132" s="11" t="s">
        <v>321</v>
      </c>
      <c r="J132" s="11" t="s">
        <v>88</v>
      </c>
      <c r="K132" s="11" t="s">
        <v>322</v>
      </c>
      <c r="L132" s="11" t="s">
        <v>323</v>
      </c>
      <c r="M132" s="11" t="s">
        <v>421</v>
      </c>
      <c r="O132" s="11" t="s">
        <v>422</v>
      </c>
      <c r="R132" s="11">
        <v>2274.63015</v>
      </c>
      <c r="S132" s="11">
        <v>2364.86705</v>
      </c>
      <c r="T132" s="11">
        <v>2323.04995</v>
      </c>
      <c r="U132" s="11">
        <v>1838.961995</v>
      </c>
      <c r="V132" s="11">
        <v>1453.69445</v>
      </c>
    </row>
    <row r="133" s="13" customFormat="1" spans="3:82">
      <c r="C133" s="11" t="s">
        <v>318</v>
      </c>
      <c r="D133" s="11" t="s">
        <v>423</v>
      </c>
      <c r="E133" s="11" t="s">
        <v>84</v>
      </c>
      <c r="F133" s="11" t="s">
        <v>80</v>
      </c>
      <c r="G133" s="11" t="s">
        <v>306</v>
      </c>
      <c r="H133" s="11" t="s">
        <v>320</v>
      </c>
      <c r="I133" s="11" t="s">
        <v>321</v>
      </c>
      <c r="J133" s="11" t="s">
        <v>88</v>
      </c>
      <c r="K133" s="11" t="s">
        <v>322</v>
      </c>
      <c r="L133" s="11" t="s">
        <v>323</v>
      </c>
      <c r="M133" s="11" t="s">
        <v>421</v>
      </c>
      <c r="N133" s="11"/>
      <c r="O133" s="11" t="s">
        <v>422</v>
      </c>
      <c r="P133" s="11"/>
      <c r="Q133" s="11"/>
      <c r="R133" s="11">
        <v>2290.03645</v>
      </c>
      <c r="S133" s="11">
        <v>2465.008</v>
      </c>
      <c r="T133" s="11">
        <v>1955.93983</v>
      </c>
      <c r="U133" s="11">
        <v>1551.6345</v>
      </c>
      <c r="V133" s="11">
        <v>1231.40355</v>
      </c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</row>
    <row r="134" hidden="1" spans="3:22">
      <c r="C134" s="11" t="s">
        <v>318</v>
      </c>
      <c r="D134" s="11" t="s">
        <v>424</v>
      </c>
      <c r="E134" s="11" t="s">
        <v>69</v>
      </c>
      <c r="F134" s="11" t="s">
        <v>14</v>
      </c>
      <c r="G134" s="11" t="s">
        <v>115</v>
      </c>
      <c r="H134" s="11" t="s">
        <v>425</v>
      </c>
      <c r="I134" s="11" t="s">
        <v>321</v>
      </c>
      <c r="J134" s="11" t="s">
        <v>88</v>
      </c>
      <c r="K134" s="11" t="s">
        <v>322</v>
      </c>
      <c r="L134" s="11" t="s">
        <v>323</v>
      </c>
      <c r="M134" s="11" t="s">
        <v>421</v>
      </c>
      <c r="O134" s="11" t="s">
        <v>422</v>
      </c>
      <c r="R134" s="11">
        <v>2308.7441</v>
      </c>
      <c r="S134" s="11">
        <v>2274.63015</v>
      </c>
      <c r="T134" s="11">
        <v>1973.657075</v>
      </c>
      <c r="U134" s="11">
        <v>1672.684</v>
      </c>
      <c r="V134" s="11">
        <v>1382.1652</v>
      </c>
    </row>
    <row r="135" s="13" customFormat="1" spans="3:82">
      <c r="C135" s="11" t="s">
        <v>318</v>
      </c>
      <c r="D135" s="11" t="s">
        <v>426</v>
      </c>
      <c r="E135" s="11" t="s">
        <v>84</v>
      </c>
      <c r="F135" s="11" t="s">
        <v>11</v>
      </c>
      <c r="G135" s="11" t="s">
        <v>120</v>
      </c>
      <c r="H135" s="11" t="s">
        <v>367</v>
      </c>
      <c r="I135" s="11" t="s">
        <v>321</v>
      </c>
      <c r="J135" s="11" t="s">
        <v>88</v>
      </c>
      <c r="K135" s="11" t="s">
        <v>322</v>
      </c>
      <c r="L135" s="11" t="s">
        <v>323</v>
      </c>
      <c r="M135" s="11" t="s">
        <v>421</v>
      </c>
      <c r="N135" s="11"/>
      <c r="O135" s="11" t="s">
        <v>422</v>
      </c>
      <c r="P135" s="11"/>
      <c r="Q135" s="11"/>
      <c r="R135" s="11">
        <v>1466.89985</v>
      </c>
      <c r="S135" s="11">
        <v>1231.40355</v>
      </c>
      <c r="T135" s="11">
        <v>1228.1022</v>
      </c>
      <c r="U135" s="11">
        <v>872.65685</v>
      </c>
      <c r="V135" s="11">
        <v>745.00465</v>
      </c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</row>
    <row r="136" s="13" customFormat="1" spans="3:82">
      <c r="C136" s="11" t="s">
        <v>318</v>
      </c>
      <c r="D136" s="11" t="s">
        <v>427</v>
      </c>
      <c r="E136" s="11" t="s">
        <v>84</v>
      </c>
      <c r="F136" s="11" t="s">
        <v>83</v>
      </c>
      <c r="G136" s="11" t="s">
        <v>342</v>
      </c>
      <c r="H136" s="11" t="s">
        <v>343</v>
      </c>
      <c r="I136" s="11" t="s">
        <v>321</v>
      </c>
      <c r="J136" s="11" t="s">
        <v>88</v>
      </c>
      <c r="K136" s="11" t="s">
        <v>322</v>
      </c>
      <c r="L136" s="11" t="s">
        <v>323</v>
      </c>
      <c r="M136" s="11" t="s">
        <v>421</v>
      </c>
      <c r="N136" s="11"/>
      <c r="O136" s="11" t="s">
        <v>422</v>
      </c>
      <c r="P136" s="11"/>
      <c r="Q136" s="11"/>
      <c r="R136" s="11">
        <v>1788.67143</v>
      </c>
      <c r="S136" s="11">
        <v>1567.26089</v>
      </c>
      <c r="T136" s="11">
        <v>1345.85035</v>
      </c>
      <c r="U136" s="11">
        <v>1181.44312</v>
      </c>
      <c r="V136" s="11">
        <v>1108.15315</v>
      </c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</row>
    <row r="137" hidden="1" spans="3:22">
      <c r="C137" s="11" t="s">
        <v>318</v>
      </c>
      <c r="D137" s="11" t="s">
        <v>428</v>
      </c>
      <c r="E137" s="11" t="s">
        <v>72</v>
      </c>
      <c r="F137" s="11" t="s">
        <v>74</v>
      </c>
      <c r="G137" s="11" t="s">
        <v>429</v>
      </c>
      <c r="H137" s="11" t="s">
        <v>430</v>
      </c>
      <c r="I137" s="11" t="s">
        <v>321</v>
      </c>
      <c r="J137" s="11" t="s">
        <v>88</v>
      </c>
      <c r="K137" s="11" t="s">
        <v>322</v>
      </c>
      <c r="L137" s="11" t="s">
        <v>323</v>
      </c>
      <c r="M137" s="11" t="s">
        <v>421</v>
      </c>
      <c r="O137" s="11" t="s">
        <v>422</v>
      </c>
      <c r="R137" s="11">
        <v>2274.63015</v>
      </c>
      <c r="S137" s="11">
        <v>2017.454985</v>
      </c>
      <c r="T137" s="11">
        <v>1757.088515</v>
      </c>
      <c r="U137" s="11">
        <v>1496.612</v>
      </c>
      <c r="V137" s="11">
        <v>990.405</v>
      </c>
    </row>
    <row r="138" hidden="1"/>
    <row r="139" hidden="1" spans="9:28">
      <c r="I139" s="11" t="s">
        <v>321</v>
      </c>
      <c r="J139" s="11" t="s">
        <v>88</v>
      </c>
      <c r="K139" s="11" t="s">
        <v>322</v>
      </c>
      <c r="AB139" s="11">
        <v>612.56742</v>
      </c>
    </row>
    <row r="140" hidden="1" spans="9:28">
      <c r="I140" s="11" t="s">
        <v>321</v>
      </c>
      <c r="J140" s="11" t="s">
        <v>88</v>
      </c>
      <c r="K140" s="11" t="s">
        <v>322</v>
      </c>
      <c r="AB140" s="11">
        <v>1141.39435</v>
      </c>
    </row>
    <row r="141" hidden="1" spans="9:28">
      <c r="I141" s="11" t="s">
        <v>321</v>
      </c>
      <c r="J141" s="11" t="s">
        <v>88</v>
      </c>
      <c r="K141" s="11" t="s">
        <v>322</v>
      </c>
      <c r="AB141" s="11">
        <v>1058.80099</v>
      </c>
    </row>
    <row r="142" hidden="1" spans="9:28">
      <c r="I142" s="11" t="s">
        <v>321</v>
      </c>
      <c r="J142" s="11" t="s">
        <v>88</v>
      </c>
      <c r="K142" s="11" t="s">
        <v>322</v>
      </c>
      <c r="AB142" s="11">
        <v>2301.14278</v>
      </c>
    </row>
    <row r="143" hidden="1"/>
    <row r="144" hidden="1"/>
    <row r="145" hidden="1"/>
    <row r="146" hidden="1"/>
    <row r="147" hidden="1" spans="7:28">
      <c r="G147" s="11" t="s">
        <v>350</v>
      </c>
      <c r="H147" s="11" t="s">
        <v>37</v>
      </c>
      <c r="I147" s="11" t="s">
        <v>321</v>
      </c>
      <c r="J147" s="11" t="s">
        <v>88</v>
      </c>
      <c r="K147" s="11" t="s">
        <v>322</v>
      </c>
      <c r="AB147" s="11">
        <v>1229.72336</v>
      </c>
    </row>
    <row r="148" hidden="1" spans="7:28">
      <c r="G148" s="11" t="s">
        <v>431</v>
      </c>
      <c r="H148" s="11" t="s">
        <v>432</v>
      </c>
      <c r="I148" s="11" t="s">
        <v>321</v>
      </c>
      <c r="J148" s="11" t="s">
        <v>88</v>
      </c>
      <c r="K148" s="11" t="s">
        <v>322</v>
      </c>
      <c r="AB148" s="11">
        <v>824.78647</v>
      </c>
    </row>
    <row r="149" hidden="1" spans="7:28">
      <c r="G149" s="11" t="s">
        <v>357</v>
      </c>
      <c r="H149" s="11" t="s">
        <v>358</v>
      </c>
      <c r="I149" s="11" t="s">
        <v>321</v>
      </c>
      <c r="J149" s="11" t="s">
        <v>88</v>
      </c>
      <c r="K149" s="11" t="s">
        <v>322</v>
      </c>
      <c r="AB149" s="11">
        <v>1011.76866</v>
      </c>
    </row>
    <row r="150" hidden="1" spans="7:28">
      <c r="G150" s="11" t="s">
        <v>433</v>
      </c>
      <c r="H150" s="11" t="s">
        <v>434</v>
      </c>
      <c r="I150" s="11" t="s">
        <v>321</v>
      </c>
      <c r="J150" s="11" t="s">
        <v>88</v>
      </c>
      <c r="K150" s="11" t="s">
        <v>322</v>
      </c>
      <c r="AB150" s="11">
        <v>1553.21402</v>
      </c>
    </row>
    <row r="151" hidden="1" spans="7:28">
      <c r="G151" s="11" t="s">
        <v>433</v>
      </c>
      <c r="H151" s="11" t="s">
        <v>434</v>
      </c>
      <c r="I151" s="11" t="s">
        <v>321</v>
      </c>
      <c r="J151" s="11" t="s">
        <v>88</v>
      </c>
      <c r="K151" s="11" t="s">
        <v>322</v>
      </c>
      <c r="AB151" s="11">
        <v>1449.97232</v>
      </c>
    </row>
    <row r="152" hidden="1" spans="7:28">
      <c r="G152" s="11" t="s">
        <v>435</v>
      </c>
      <c r="H152" s="11" t="s">
        <v>436</v>
      </c>
      <c r="I152" s="11" t="s">
        <v>321</v>
      </c>
      <c r="J152" s="11" t="s">
        <v>88</v>
      </c>
      <c r="K152" s="11" t="s">
        <v>322</v>
      </c>
      <c r="AB152" s="11">
        <v>612.56742</v>
      </c>
    </row>
    <row r="153" hidden="1" spans="7:28">
      <c r="G153" s="11" t="s">
        <v>435</v>
      </c>
      <c r="H153" s="11" t="s">
        <v>436</v>
      </c>
      <c r="I153" s="11" t="s">
        <v>321</v>
      </c>
      <c r="J153" s="11" t="s">
        <v>88</v>
      </c>
      <c r="K153" s="11" t="s">
        <v>322</v>
      </c>
      <c r="AB153" s="11">
        <v>714.66199</v>
      </c>
    </row>
    <row r="154" hidden="1" spans="7:28">
      <c r="G154" s="11" t="s">
        <v>437</v>
      </c>
      <c r="H154" s="11" t="s">
        <v>438</v>
      </c>
      <c r="I154" s="11" t="s">
        <v>321</v>
      </c>
      <c r="J154" s="11" t="s">
        <v>88</v>
      </c>
      <c r="K154" s="11" t="s">
        <v>322</v>
      </c>
      <c r="AB154" s="11">
        <v>812.16804</v>
      </c>
    </row>
    <row r="155" hidden="1" spans="7:28">
      <c r="G155" s="11" t="s">
        <v>439</v>
      </c>
      <c r="H155" s="11" t="s">
        <v>440</v>
      </c>
      <c r="I155" s="11" t="s">
        <v>321</v>
      </c>
      <c r="J155" s="11" t="s">
        <v>88</v>
      </c>
      <c r="K155" s="11" t="s">
        <v>322</v>
      </c>
      <c r="AB155" s="11">
        <v>1105.83332</v>
      </c>
    </row>
    <row r="156" hidden="1" spans="7:28">
      <c r="G156" s="11" t="s">
        <v>441</v>
      </c>
      <c r="H156" s="11" t="s">
        <v>442</v>
      </c>
      <c r="I156" s="11" t="s">
        <v>321</v>
      </c>
      <c r="J156" s="11" t="s">
        <v>88</v>
      </c>
      <c r="K156" s="11" t="s">
        <v>322</v>
      </c>
      <c r="AB156" s="11">
        <v>948.67651</v>
      </c>
    </row>
    <row r="157" hidden="1" spans="7:28">
      <c r="G157" s="11" t="s">
        <v>441</v>
      </c>
      <c r="H157" s="11" t="s">
        <v>442</v>
      </c>
      <c r="I157" s="11" t="s">
        <v>321</v>
      </c>
      <c r="J157" s="11" t="s">
        <v>88</v>
      </c>
      <c r="K157" s="11" t="s">
        <v>322</v>
      </c>
      <c r="AB157" s="11">
        <v>959.00068</v>
      </c>
    </row>
    <row r="158" hidden="1" spans="7:28">
      <c r="G158" s="11" t="s">
        <v>122</v>
      </c>
      <c r="H158" s="11" t="s">
        <v>443</v>
      </c>
      <c r="I158" s="11" t="s">
        <v>321</v>
      </c>
      <c r="J158" s="11" t="s">
        <v>88</v>
      </c>
      <c r="K158" s="11" t="s">
        <v>322</v>
      </c>
      <c r="AB158" s="11">
        <v>2301.14278</v>
      </c>
    </row>
    <row r="159" hidden="1" spans="7:28">
      <c r="G159" s="11" t="s">
        <v>444</v>
      </c>
      <c r="H159" s="11" t="s">
        <v>445</v>
      </c>
      <c r="I159" s="11" t="s">
        <v>321</v>
      </c>
      <c r="J159" s="11" t="s">
        <v>88</v>
      </c>
      <c r="K159" s="11" t="s">
        <v>322</v>
      </c>
      <c r="AB159" s="11">
        <v>1406.38138</v>
      </c>
    </row>
    <row r="160" hidden="1" spans="7:28">
      <c r="G160" s="11" t="s">
        <v>379</v>
      </c>
      <c r="H160" s="11" t="s">
        <v>380</v>
      </c>
      <c r="I160" s="11" t="s">
        <v>321</v>
      </c>
      <c r="J160" s="11" t="s">
        <v>88</v>
      </c>
      <c r="K160" s="11" t="s">
        <v>322</v>
      </c>
      <c r="AB160" s="11">
        <v>925.73391</v>
      </c>
    </row>
    <row r="161" hidden="1" spans="7:28">
      <c r="G161" s="11" t="s">
        <v>350</v>
      </c>
      <c r="H161" s="11" t="s">
        <v>37</v>
      </c>
      <c r="I161" s="11" t="s">
        <v>321</v>
      </c>
      <c r="J161" s="11" t="s">
        <v>88</v>
      </c>
      <c r="K161" s="11" t="s">
        <v>322</v>
      </c>
      <c r="AB161" s="11">
        <v>1229.72336</v>
      </c>
    </row>
    <row r="162" hidden="1" spans="7:28">
      <c r="G162" s="11" t="s">
        <v>115</v>
      </c>
      <c r="H162" s="11" t="s">
        <v>425</v>
      </c>
      <c r="I162" s="11" t="s">
        <v>321</v>
      </c>
      <c r="J162" s="11" t="s">
        <v>88</v>
      </c>
      <c r="K162" s="11" t="s">
        <v>322</v>
      </c>
      <c r="AB162" s="11">
        <v>1373.11461</v>
      </c>
    </row>
    <row r="163" hidden="1" spans="7:28">
      <c r="G163" s="11" t="s">
        <v>67</v>
      </c>
      <c r="H163" s="11" t="s">
        <v>419</v>
      </c>
      <c r="I163" s="11" t="s">
        <v>321</v>
      </c>
      <c r="J163" s="11" t="s">
        <v>88</v>
      </c>
      <c r="K163" s="11" t="s">
        <v>322</v>
      </c>
      <c r="AB163" s="11">
        <v>837.4049</v>
      </c>
    </row>
    <row r="164" hidden="1" spans="7:28">
      <c r="G164" s="11" t="s">
        <v>120</v>
      </c>
      <c r="H164" s="11" t="s">
        <v>367</v>
      </c>
      <c r="I164" s="11" t="s">
        <v>321</v>
      </c>
      <c r="J164" s="11" t="s">
        <v>88</v>
      </c>
      <c r="K164" s="11" t="s">
        <v>322</v>
      </c>
      <c r="AB164" s="11">
        <v>721.54477</v>
      </c>
    </row>
    <row r="165" hidden="1" spans="9:11">
      <c r="I165" s="11" t="s">
        <v>321</v>
      </c>
      <c r="J165" s="11" t="s">
        <v>88</v>
      </c>
      <c r="K165" s="11" t="s">
        <v>322</v>
      </c>
    </row>
    <row r="166" hidden="1"/>
    <row r="167" hidden="1"/>
    <row r="168" hidden="1" spans="7:11">
      <c r="G168" s="11" t="s">
        <v>122</v>
      </c>
      <c r="H168" s="11" t="s">
        <v>443</v>
      </c>
      <c r="I168" s="11" t="s">
        <v>321</v>
      </c>
      <c r="J168" s="11" t="s">
        <v>88</v>
      </c>
      <c r="K168" s="11" t="s">
        <v>322</v>
      </c>
    </row>
    <row r="169" hidden="1" spans="7:11">
      <c r="G169" s="11" t="s">
        <v>117</v>
      </c>
      <c r="H169" s="11" t="s">
        <v>446</v>
      </c>
      <c r="I169" s="11" t="s">
        <v>321</v>
      </c>
      <c r="J169" s="11" t="s">
        <v>88</v>
      </c>
      <c r="K169" s="11" t="s">
        <v>322</v>
      </c>
    </row>
    <row r="170" hidden="1" spans="7:11">
      <c r="G170" s="11" t="s">
        <v>447</v>
      </c>
      <c r="H170" s="11" t="s">
        <v>448</v>
      </c>
      <c r="I170" s="11" t="s">
        <v>321</v>
      </c>
      <c r="J170" s="11" t="s">
        <v>88</v>
      </c>
      <c r="K170" s="11" t="s">
        <v>322</v>
      </c>
    </row>
    <row r="171" hidden="1" spans="7:11">
      <c r="G171" s="11" t="s">
        <v>449</v>
      </c>
      <c r="H171" s="11" t="s">
        <v>450</v>
      </c>
      <c r="I171" s="11" t="s">
        <v>321</v>
      </c>
      <c r="J171" s="11" t="s">
        <v>88</v>
      </c>
      <c r="K171" s="11" t="s">
        <v>322</v>
      </c>
    </row>
    <row r="172" hidden="1" spans="7:11">
      <c r="G172" s="11" t="s">
        <v>439</v>
      </c>
      <c r="H172" s="11" t="s">
        <v>440</v>
      </c>
      <c r="I172" s="11" t="s">
        <v>321</v>
      </c>
      <c r="J172" s="11" t="s">
        <v>88</v>
      </c>
      <c r="K172" s="11" t="s">
        <v>322</v>
      </c>
    </row>
    <row r="173" hidden="1" spans="7:11">
      <c r="G173" s="11" t="s">
        <v>372</v>
      </c>
      <c r="H173" s="11" t="s">
        <v>373</v>
      </c>
      <c r="I173" s="11" t="s">
        <v>321</v>
      </c>
      <c r="J173" s="11" t="s">
        <v>88</v>
      </c>
      <c r="K173" s="11" t="s">
        <v>322</v>
      </c>
    </row>
    <row r="174" hidden="1" spans="7:11">
      <c r="G174" s="11" t="s">
        <v>451</v>
      </c>
      <c r="H174" s="11" t="s">
        <v>452</v>
      </c>
      <c r="I174" s="11" t="s">
        <v>321</v>
      </c>
      <c r="J174" s="11" t="s">
        <v>88</v>
      </c>
      <c r="K174" s="11" t="s">
        <v>322</v>
      </c>
    </row>
    <row r="175" hidden="1" spans="7:11">
      <c r="G175" s="11" t="s">
        <v>379</v>
      </c>
      <c r="H175" s="11" t="s">
        <v>380</v>
      </c>
      <c r="I175" s="11" t="s">
        <v>321</v>
      </c>
      <c r="J175" s="11" t="s">
        <v>88</v>
      </c>
      <c r="K175" s="11" t="s">
        <v>322</v>
      </c>
    </row>
    <row r="176" hidden="1" spans="7:11">
      <c r="G176" s="11" t="s">
        <v>453</v>
      </c>
      <c r="H176" s="11" t="s">
        <v>454</v>
      </c>
      <c r="I176" s="11" t="s">
        <v>321</v>
      </c>
      <c r="J176" s="11" t="s">
        <v>88</v>
      </c>
      <c r="K176" s="11" t="s">
        <v>322</v>
      </c>
    </row>
    <row r="177" hidden="1" spans="7:11">
      <c r="G177" s="11" t="s">
        <v>437</v>
      </c>
      <c r="H177" s="11" t="s">
        <v>438</v>
      </c>
      <c r="I177" s="11" t="s">
        <v>321</v>
      </c>
      <c r="J177" s="11" t="s">
        <v>88</v>
      </c>
      <c r="K177" s="11" t="s">
        <v>322</v>
      </c>
    </row>
    <row r="178" hidden="1" spans="7:11">
      <c r="G178" s="11" t="s">
        <v>435</v>
      </c>
      <c r="H178" s="11" t="s">
        <v>436</v>
      </c>
      <c r="I178" s="11" t="s">
        <v>321</v>
      </c>
      <c r="J178" s="11" t="s">
        <v>88</v>
      </c>
      <c r="K178" s="11" t="s">
        <v>322</v>
      </c>
    </row>
    <row r="179" hidden="1" spans="7:11">
      <c r="G179" s="11" t="s">
        <v>350</v>
      </c>
      <c r="H179" s="11" t="s">
        <v>37</v>
      </c>
      <c r="I179" s="11" t="s">
        <v>321</v>
      </c>
      <c r="J179" s="11" t="s">
        <v>88</v>
      </c>
      <c r="K179" s="11" t="s">
        <v>322</v>
      </c>
    </row>
    <row r="180" hidden="1" spans="7:11">
      <c r="G180" s="11" t="s">
        <v>455</v>
      </c>
      <c r="H180" s="11" t="s">
        <v>456</v>
      </c>
      <c r="I180" s="11" t="s">
        <v>321</v>
      </c>
      <c r="J180" s="11" t="s">
        <v>88</v>
      </c>
      <c r="K180" s="11" t="s">
        <v>322</v>
      </c>
    </row>
    <row r="181" hidden="1" spans="7:11">
      <c r="G181" s="11" t="s">
        <v>407</v>
      </c>
      <c r="H181" s="11" t="s">
        <v>408</v>
      </c>
      <c r="I181" s="11" t="s">
        <v>321</v>
      </c>
      <c r="J181" s="11" t="s">
        <v>88</v>
      </c>
      <c r="K181" s="11" t="s">
        <v>322</v>
      </c>
    </row>
    <row r="182" hidden="1" spans="7:11">
      <c r="G182" s="11" t="s">
        <v>457</v>
      </c>
      <c r="H182" s="11" t="s">
        <v>458</v>
      </c>
      <c r="I182" s="11" t="s">
        <v>321</v>
      </c>
      <c r="J182" s="11" t="s">
        <v>88</v>
      </c>
      <c r="K182" s="11" t="s">
        <v>322</v>
      </c>
    </row>
    <row r="183" hidden="1" spans="7:11">
      <c r="G183" s="11" t="s">
        <v>459</v>
      </c>
      <c r="H183" s="11" t="s">
        <v>460</v>
      </c>
      <c r="I183" s="11" t="s">
        <v>321</v>
      </c>
      <c r="J183" s="11" t="s">
        <v>88</v>
      </c>
      <c r="K183" s="11" t="s">
        <v>322</v>
      </c>
    </row>
    <row r="184" hidden="1" spans="7:11">
      <c r="G184" s="11" t="s">
        <v>306</v>
      </c>
      <c r="H184" s="11" t="s">
        <v>320</v>
      </c>
      <c r="I184" s="11" t="s">
        <v>321</v>
      </c>
      <c r="J184" s="11" t="s">
        <v>88</v>
      </c>
      <c r="K184" s="11" t="s">
        <v>322</v>
      </c>
    </row>
    <row r="185" hidden="1" spans="7:11">
      <c r="G185" s="11" t="s">
        <v>433</v>
      </c>
      <c r="H185" s="11" t="s">
        <v>434</v>
      </c>
      <c r="I185" s="11" t="s">
        <v>321</v>
      </c>
      <c r="J185" s="11" t="s">
        <v>88</v>
      </c>
      <c r="K185" s="11" t="s">
        <v>322</v>
      </c>
    </row>
    <row r="186" hidden="1" spans="7:11">
      <c r="G186" s="11" t="s">
        <v>429</v>
      </c>
      <c r="H186" s="11" t="s">
        <v>430</v>
      </c>
      <c r="I186" s="11" t="s">
        <v>321</v>
      </c>
      <c r="J186" s="11" t="s">
        <v>88</v>
      </c>
      <c r="K186" s="11" t="s">
        <v>322</v>
      </c>
    </row>
    <row r="187" hidden="1" spans="7:11">
      <c r="G187" s="11" t="s">
        <v>461</v>
      </c>
      <c r="H187" s="11" t="s">
        <v>462</v>
      </c>
      <c r="I187" s="11" t="s">
        <v>321</v>
      </c>
      <c r="J187" s="11" t="s">
        <v>88</v>
      </c>
      <c r="K187" s="11" t="s">
        <v>322</v>
      </c>
    </row>
    <row r="188" hidden="1" spans="7:11">
      <c r="G188" s="11" t="s">
        <v>357</v>
      </c>
      <c r="H188" s="11" t="s">
        <v>358</v>
      </c>
      <c r="I188" s="11" t="s">
        <v>321</v>
      </c>
      <c r="J188" s="11" t="s">
        <v>88</v>
      </c>
      <c r="K188" s="11" t="s">
        <v>322</v>
      </c>
    </row>
    <row r="189" hidden="1" spans="7:11">
      <c r="G189" s="11" t="s">
        <v>463</v>
      </c>
      <c r="H189" s="11" t="s">
        <v>464</v>
      </c>
      <c r="I189" s="11" t="s">
        <v>321</v>
      </c>
      <c r="J189" s="11" t="s">
        <v>88</v>
      </c>
      <c r="K189" s="11" t="s">
        <v>322</v>
      </c>
    </row>
    <row r="190" hidden="1" spans="7:11">
      <c r="G190" s="11" t="s">
        <v>465</v>
      </c>
      <c r="H190" s="11" t="s">
        <v>466</v>
      </c>
      <c r="I190" s="11" t="s">
        <v>321</v>
      </c>
      <c r="J190" s="11" t="s">
        <v>88</v>
      </c>
      <c r="K190" s="11" t="s">
        <v>322</v>
      </c>
    </row>
    <row r="191" hidden="1" spans="7:11">
      <c r="G191" s="11" t="s">
        <v>467</v>
      </c>
      <c r="H191" s="11" t="s">
        <v>468</v>
      </c>
      <c r="I191" s="11" t="s">
        <v>321</v>
      </c>
      <c r="J191" s="11" t="s">
        <v>88</v>
      </c>
      <c r="K191" s="11" t="s">
        <v>322</v>
      </c>
    </row>
    <row r="192" hidden="1" spans="7:11">
      <c r="G192" s="11" t="s">
        <v>469</v>
      </c>
      <c r="H192" s="11" t="s">
        <v>470</v>
      </c>
      <c r="I192" s="11" t="s">
        <v>321</v>
      </c>
      <c r="J192" s="11" t="s">
        <v>88</v>
      </c>
      <c r="K192" s="11" t="s">
        <v>322</v>
      </c>
    </row>
    <row r="193" hidden="1" spans="7:11">
      <c r="G193" s="11" t="s">
        <v>471</v>
      </c>
      <c r="H193" s="11" t="s">
        <v>472</v>
      </c>
      <c r="I193" s="11" t="s">
        <v>321</v>
      </c>
      <c r="J193" s="11" t="s">
        <v>88</v>
      </c>
      <c r="K193" s="11" t="s">
        <v>322</v>
      </c>
    </row>
    <row r="194" hidden="1" spans="7:11">
      <c r="G194" s="11" t="s">
        <v>473</v>
      </c>
      <c r="H194" s="11" t="s">
        <v>474</v>
      </c>
      <c r="I194" s="11" t="s">
        <v>321</v>
      </c>
      <c r="J194" s="11" t="s">
        <v>88</v>
      </c>
      <c r="K194" s="11" t="s">
        <v>322</v>
      </c>
    </row>
    <row r="195" hidden="1" spans="7:11">
      <c r="G195" s="11" t="s">
        <v>441</v>
      </c>
      <c r="H195" s="11" t="s">
        <v>442</v>
      </c>
      <c r="I195" s="11" t="s">
        <v>321</v>
      </c>
      <c r="J195" s="11" t="s">
        <v>88</v>
      </c>
      <c r="K195" s="11" t="s">
        <v>322</v>
      </c>
    </row>
    <row r="196" hidden="1" spans="7:11">
      <c r="G196" s="11" t="s">
        <v>115</v>
      </c>
      <c r="H196" s="11" t="s">
        <v>425</v>
      </c>
      <c r="I196" s="11" t="s">
        <v>321</v>
      </c>
      <c r="J196" s="11" t="s">
        <v>88</v>
      </c>
      <c r="K196" s="11" t="s">
        <v>322</v>
      </c>
    </row>
    <row r="197" hidden="1" spans="7:11">
      <c r="G197" s="11" t="s">
        <v>67</v>
      </c>
      <c r="H197" s="11" t="s">
        <v>419</v>
      </c>
      <c r="I197" s="11" t="s">
        <v>321</v>
      </c>
      <c r="J197" s="11" t="s">
        <v>88</v>
      </c>
      <c r="K197" s="11" t="s">
        <v>322</v>
      </c>
    </row>
    <row r="198" hidden="1" spans="7:11">
      <c r="G198" s="11" t="s">
        <v>431</v>
      </c>
      <c r="H198" s="11" t="s">
        <v>432</v>
      </c>
      <c r="I198" s="11" t="s">
        <v>321</v>
      </c>
      <c r="J198" s="11" t="s">
        <v>88</v>
      </c>
      <c r="K198" s="11" t="s">
        <v>322</v>
      </c>
    </row>
    <row r="199" hidden="1" spans="7:11">
      <c r="G199" s="11" t="s">
        <v>475</v>
      </c>
      <c r="H199" s="11" t="s">
        <v>476</v>
      </c>
      <c r="I199" s="11" t="s">
        <v>321</v>
      </c>
      <c r="J199" s="11" t="s">
        <v>88</v>
      </c>
      <c r="K199" s="11" t="s">
        <v>322</v>
      </c>
    </row>
    <row r="200" hidden="1" spans="7:11">
      <c r="G200" s="11" t="s">
        <v>477</v>
      </c>
      <c r="H200" s="11" t="s">
        <v>478</v>
      </c>
      <c r="I200" s="11" t="s">
        <v>321</v>
      </c>
      <c r="J200" s="11" t="s">
        <v>88</v>
      </c>
      <c r="K200" s="11" t="s">
        <v>322</v>
      </c>
    </row>
    <row r="201" hidden="1" spans="7:11">
      <c r="G201" s="11" t="s">
        <v>120</v>
      </c>
      <c r="H201" s="11" t="s">
        <v>367</v>
      </c>
      <c r="I201" s="11" t="s">
        <v>321</v>
      </c>
      <c r="J201" s="11" t="s">
        <v>88</v>
      </c>
      <c r="K201" s="11" t="s">
        <v>322</v>
      </c>
    </row>
    <row r="202" hidden="1" spans="7:11">
      <c r="G202" s="11" t="s">
        <v>479</v>
      </c>
      <c r="H202" s="11" t="s">
        <v>480</v>
      </c>
      <c r="I202" s="11" t="s">
        <v>321</v>
      </c>
      <c r="J202" s="11" t="s">
        <v>88</v>
      </c>
      <c r="K202" s="11" t="s">
        <v>322</v>
      </c>
    </row>
    <row r="203" hidden="1" spans="7:11">
      <c r="G203" s="11" t="s">
        <v>444</v>
      </c>
      <c r="H203" s="11" t="s">
        <v>445</v>
      </c>
      <c r="I203" s="11" t="s">
        <v>321</v>
      </c>
      <c r="J203" s="11" t="s">
        <v>88</v>
      </c>
      <c r="K203" s="11" t="s">
        <v>322</v>
      </c>
    </row>
    <row r="204" hidden="1"/>
    <row r="205" hidden="1"/>
    <row r="206" hidden="1"/>
    <row r="207" hidden="1" spans="13:13">
      <c r="M207" s="11" t="s">
        <v>481</v>
      </c>
    </row>
    <row r="208" hidden="1" spans="13:13">
      <c r="M208" s="11" t="s">
        <v>481</v>
      </c>
    </row>
    <row r="209" hidden="1" spans="13:13">
      <c r="M209" s="11" t="s">
        <v>481</v>
      </c>
    </row>
    <row r="210" hidden="1" spans="13:13">
      <c r="M210" s="11" t="s">
        <v>481</v>
      </c>
    </row>
    <row r="211" hidden="1" spans="13:13">
      <c r="M211" s="11" t="s">
        <v>481</v>
      </c>
    </row>
    <row r="212" hidden="1" spans="13:13">
      <c r="M212" s="11" t="s">
        <v>481</v>
      </c>
    </row>
    <row r="213" hidden="1" spans="13:13">
      <c r="M213" s="11" t="s">
        <v>481</v>
      </c>
    </row>
    <row r="214" hidden="1" spans="13:13">
      <c r="M214" s="11" t="s">
        <v>481</v>
      </c>
    </row>
    <row r="215" hidden="1" spans="13:13">
      <c r="M215" s="11" t="s">
        <v>481</v>
      </c>
    </row>
    <row r="216" hidden="1" spans="13:13">
      <c r="M216" s="11" t="s">
        <v>481</v>
      </c>
    </row>
    <row r="217" hidden="1" spans="13:13">
      <c r="M217" s="11" t="s">
        <v>481</v>
      </c>
    </row>
    <row r="218" hidden="1" spans="13:13">
      <c r="M218" s="11" t="s">
        <v>481</v>
      </c>
    </row>
    <row r="219" hidden="1" spans="13:13">
      <c r="M219" s="11" t="s">
        <v>481</v>
      </c>
    </row>
    <row r="220" hidden="1" spans="13:13">
      <c r="M220" s="11" t="s">
        <v>481</v>
      </c>
    </row>
    <row r="221" hidden="1" spans="13:13">
      <c r="M221" s="11" t="s">
        <v>481</v>
      </c>
    </row>
    <row r="222" hidden="1" spans="13:13">
      <c r="M222" s="11" t="s">
        <v>481</v>
      </c>
    </row>
    <row r="223" hidden="1" spans="13:13">
      <c r="M223" s="11" t="s">
        <v>481</v>
      </c>
    </row>
    <row r="224" hidden="1" spans="13:13">
      <c r="M224" s="11" t="s">
        <v>481</v>
      </c>
    </row>
    <row r="225" hidden="1" spans="13:13">
      <c r="M225" s="11" t="s">
        <v>481</v>
      </c>
    </row>
    <row r="226" hidden="1" spans="13:13">
      <c r="M226" s="11" t="s">
        <v>481</v>
      </c>
    </row>
    <row r="227" hidden="1" spans="13:13">
      <c r="M227" s="11" t="s">
        <v>481</v>
      </c>
    </row>
    <row r="228" hidden="1" spans="13:13">
      <c r="M228" s="11" t="s">
        <v>481</v>
      </c>
    </row>
    <row r="229" hidden="1" spans="13:13">
      <c r="M229" s="11" t="s">
        <v>481</v>
      </c>
    </row>
    <row r="230" hidden="1" spans="13:13">
      <c r="M230" s="11" t="s">
        <v>481</v>
      </c>
    </row>
    <row r="231" hidden="1" spans="13:13">
      <c r="M231" s="11" t="s">
        <v>481</v>
      </c>
    </row>
    <row r="232" hidden="1" spans="13:13">
      <c r="M232" s="11" t="s">
        <v>481</v>
      </c>
    </row>
    <row r="233" hidden="1" spans="13:13">
      <c r="M233" s="11" t="s">
        <v>481</v>
      </c>
    </row>
    <row r="234" hidden="1" spans="13:13">
      <c r="M234" s="11" t="s">
        <v>481</v>
      </c>
    </row>
    <row r="235" hidden="1" spans="13:13">
      <c r="M235" s="11" t="s">
        <v>481</v>
      </c>
    </row>
    <row r="236" hidden="1" spans="13:13">
      <c r="M236" s="11" t="s">
        <v>481</v>
      </c>
    </row>
    <row r="237" hidden="1" spans="13:13">
      <c r="M237" s="11" t="s">
        <v>481</v>
      </c>
    </row>
    <row r="238" hidden="1" spans="13:13">
      <c r="M238" s="11" t="s">
        <v>481</v>
      </c>
    </row>
    <row r="239" hidden="1" spans="13:13">
      <c r="M239" s="11" t="s">
        <v>481</v>
      </c>
    </row>
    <row r="240" hidden="1" spans="13:13">
      <c r="M240" s="11" t="s">
        <v>481</v>
      </c>
    </row>
    <row r="241" hidden="1" spans="13:13">
      <c r="M241" s="11" t="s">
        <v>481</v>
      </c>
    </row>
    <row r="242" hidden="1" spans="13:13">
      <c r="M242" s="11" t="s">
        <v>481</v>
      </c>
    </row>
    <row r="243" hidden="1" spans="13:13">
      <c r="M243" s="11" t="s">
        <v>481</v>
      </c>
    </row>
    <row r="244" hidden="1" spans="13:13">
      <c r="M244" s="11" t="s">
        <v>481</v>
      </c>
    </row>
    <row r="245" hidden="1" spans="13:13">
      <c r="M245" s="11" t="s">
        <v>481</v>
      </c>
    </row>
    <row r="246" hidden="1" spans="13:13">
      <c r="M246" s="11" t="s">
        <v>481</v>
      </c>
    </row>
    <row r="247" hidden="1" spans="13:13">
      <c r="M247" s="11" t="s">
        <v>481</v>
      </c>
    </row>
    <row r="248" hidden="1" spans="13:13">
      <c r="M248" s="11" t="s">
        <v>481</v>
      </c>
    </row>
    <row r="249" hidden="1" spans="13:13">
      <c r="M249" s="11" t="s">
        <v>481</v>
      </c>
    </row>
    <row r="250" hidden="1" spans="13:13">
      <c r="M250" s="11" t="s">
        <v>481</v>
      </c>
    </row>
    <row r="251" hidden="1" spans="13:13">
      <c r="M251" s="11" t="s">
        <v>481</v>
      </c>
    </row>
    <row r="252" hidden="1" spans="13:13">
      <c r="M252" s="11" t="s">
        <v>481</v>
      </c>
    </row>
    <row r="253" hidden="1" spans="13:13">
      <c r="M253" s="11" t="s">
        <v>481</v>
      </c>
    </row>
    <row r="254" hidden="1" spans="13:13">
      <c r="M254" s="11" t="s">
        <v>481</v>
      </c>
    </row>
    <row r="255" hidden="1" spans="13:13">
      <c r="M255" s="11" t="s">
        <v>481</v>
      </c>
    </row>
    <row r="256" hidden="1" spans="13:13">
      <c r="M256" s="11" t="s">
        <v>481</v>
      </c>
    </row>
    <row r="257" hidden="1" spans="13:13">
      <c r="M257" s="11" t="s">
        <v>481</v>
      </c>
    </row>
    <row r="258" hidden="1" spans="13:13">
      <c r="M258" s="11" t="s">
        <v>481</v>
      </c>
    </row>
    <row r="259" hidden="1" spans="13:13">
      <c r="M259" s="11" t="s">
        <v>481</v>
      </c>
    </row>
    <row r="260" hidden="1" spans="13:13">
      <c r="M260" s="11" t="s">
        <v>481</v>
      </c>
    </row>
    <row r="261" hidden="1" spans="13:13">
      <c r="M261" s="11" t="s">
        <v>481</v>
      </c>
    </row>
    <row r="262" hidden="1" spans="13:13">
      <c r="M262" s="11" t="s">
        <v>481</v>
      </c>
    </row>
    <row r="263" hidden="1" spans="13:13">
      <c r="M263" s="11" t="s">
        <v>481</v>
      </c>
    </row>
    <row r="264" hidden="1" spans="13:13">
      <c r="M264" s="11" t="s">
        <v>481</v>
      </c>
    </row>
    <row r="265" hidden="1" spans="13:13">
      <c r="M265" s="11" t="s">
        <v>481</v>
      </c>
    </row>
    <row r="266" hidden="1" spans="13:13">
      <c r="M266" s="11" t="s">
        <v>481</v>
      </c>
    </row>
    <row r="267" hidden="1" spans="13:13">
      <c r="M267" s="11" t="s">
        <v>481</v>
      </c>
    </row>
    <row r="268" hidden="1" spans="13:13">
      <c r="M268" s="11" t="s">
        <v>481</v>
      </c>
    </row>
    <row r="269" hidden="1" spans="13:13">
      <c r="M269" s="11" t="s">
        <v>481</v>
      </c>
    </row>
    <row r="270" hidden="1" spans="13:13">
      <c r="M270" s="11" t="s">
        <v>481</v>
      </c>
    </row>
    <row r="271" hidden="1" spans="13:13">
      <c r="M271" s="11" t="s">
        <v>481</v>
      </c>
    </row>
    <row r="272" hidden="1" spans="13:13">
      <c r="M272" s="11" t="s">
        <v>481</v>
      </c>
    </row>
    <row r="273" hidden="1" spans="13:13">
      <c r="M273" s="11" t="s">
        <v>481</v>
      </c>
    </row>
    <row r="274" hidden="1" spans="13:13">
      <c r="M274" s="11" t="s">
        <v>481</v>
      </c>
    </row>
    <row r="275" hidden="1" spans="13:13">
      <c r="M275" s="11" t="s">
        <v>481</v>
      </c>
    </row>
    <row r="276" hidden="1" spans="13:13">
      <c r="M276" s="11" t="s">
        <v>481</v>
      </c>
    </row>
    <row r="277" hidden="1" spans="13:13">
      <c r="M277" s="11" t="s">
        <v>481</v>
      </c>
    </row>
    <row r="278" hidden="1" spans="13:13">
      <c r="M278" s="11" t="s">
        <v>481</v>
      </c>
    </row>
    <row r="279" hidden="1" spans="13:13">
      <c r="M279" s="11" t="s">
        <v>481</v>
      </c>
    </row>
    <row r="280" hidden="1" spans="13:13">
      <c r="M280" s="11" t="s">
        <v>481</v>
      </c>
    </row>
    <row r="281" hidden="1" spans="13:13">
      <c r="M281" s="11" t="s">
        <v>481</v>
      </c>
    </row>
    <row r="282" hidden="1" spans="13:13">
      <c r="M282" s="11" t="s">
        <v>481</v>
      </c>
    </row>
    <row r="283" hidden="1" spans="13:13">
      <c r="M283" s="11" t="s">
        <v>481</v>
      </c>
    </row>
    <row r="284" hidden="1" spans="13:13">
      <c r="M284" s="11" t="s">
        <v>481</v>
      </c>
    </row>
    <row r="285" hidden="1" spans="13:13">
      <c r="M285" s="11" t="s">
        <v>481</v>
      </c>
    </row>
    <row r="286" hidden="1" spans="13:13">
      <c r="M286" s="11" t="s">
        <v>481</v>
      </c>
    </row>
    <row r="287" hidden="1" spans="13:13">
      <c r="M287" s="11" t="s">
        <v>481</v>
      </c>
    </row>
    <row r="288" hidden="1" spans="13:13">
      <c r="M288" s="11" t="s">
        <v>481</v>
      </c>
    </row>
    <row r="289" hidden="1" spans="13:13">
      <c r="M289" s="11" t="s">
        <v>481</v>
      </c>
    </row>
    <row r="290" hidden="1" spans="13:13">
      <c r="M290" s="11" t="s">
        <v>481</v>
      </c>
    </row>
    <row r="291" hidden="1" spans="13:13">
      <c r="M291" s="11" t="s">
        <v>481</v>
      </c>
    </row>
    <row r="292" hidden="1" spans="13:13">
      <c r="M292" s="11" t="s">
        <v>481</v>
      </c>
    </row>
    <row r="293" hidden="1" spans="13:13">
      <c r="M293" s="11" t="s">
        <v>481</v>
      </c>
    </row>
    <row r="294" hidden="1" spans="13:13">
      <c r="M294" s="11" t="s">
        <v>481</v>
      </c>
    </row>
    <row r="295" hidden="1" spans="13:13">
      <c r="M295" s="11" t="s">
        <v>481</v>
      </c>
    </row>
    <row r="296" hidden="1" spans="13:13">
      <c r="M296" s="11" t="s">
        <v>481</v>
      </c>
    </row>
    <row r="297" hidden="1" spans="13:13">
      <c r="M297" s="11" t="s">
        <v>481</v>
      </c>
    </row>
    <row r="298" hidden="1" spans="13:13">
      <c r="M298" s="11" t="s">
        <v>481</v>
      </c>
    </row>
    <row r="299" hidden="1" spans="13:13">
      <c r="M299" s="11" t="s">
        <v>481</v>
      </c>
    </row>
    <row r="300" hidden="1" spans="13:13">
      <c r="M300" s="11" t="s">
        <v>481</v>
      </c>
    </row>
    <row r="301" hidden="1" spans="13:13">
      <c r="M301" s="11" t="s">
        <v>481</v>
      </c>
    </row>
    <row r="302" hidden="1" spans="13:13">
      <c r="M302" s="11" t="s">
        <v>481</v>
      </c>
    </row>
    <row r="303" hidden="1" spans="13:13">
      <c r="M303" s="11" t="s">
        <v>481</v>
      </c>
    </row>
    <row r="304" hidden="1" spans="13:13">
      <c r="M304" s="11" t="s">
        <v>482</v>
      </c>
    </row>
    <row r="305" hidden="1" spans="13:13">
      <c r="M305" s="11" t="s">
        <v>482</v>
      </c>
    </row>
    <row r="306" hidden="1" spans="13:13">
      <c r="M306" s="11" t="s">
        <v>482</v>
      </c>
    </row>
    <row r="307" hidden="1" spans="13:13">
      <c r="M307" s="11" t="s">
        <v>482</v>
      </c>
    </row>
    <row r="308" hidden="1" spans="13:13">
      <c r="M308" s="11" t="s">
        <v>482</v>
      </c>
    </row>
    <row r="309" hidden="1" spans="13:13">
      <c r="M309" s="11" t="s">
        <v>482</v>
      </c>
    </row>
    <row r="310" hidden="1" spans="3:26">
      <c r="C310" s="11" t="s">
        <v>318</v>
      </c>
      <c r="D310" s="11" t="s">
        <v>483</v>
      </c>
      <c r="E310" s="11" t="s">
        <v>72</v>
      </c>
      <c r="F310" s="11" t="s">
        <v>349</v>
      </c>
      <c r="G310" s="11" t="s">
        <v>350</v>
      </c>
      <c r="H310" s="11" t="s">
        <v>37</v>
      </c>
      <c r="I310" s="11" t="s">
        <v>321</v>
      </c>
      <c r="J310" s="11" t="s">
        <v>88</v>
      </c>
      <c r="K310" s="11" t="s">
        <v>322</v>
      </c>
      <c r="L310" s="11" t="s">
        <v>323</v>
      </c>
      <c r="M310" s="11" t="s">
        <v>484</v>
      </c>
      <c r="N310" s="11" t="s">
        <v>485</v>
      </c>
      <c r="O310" s="11" t="s">
        <v>355</v>
      </c>
      <c r="Z310" s="11">
        <v>1050</v>
      </c>
    </row>
    <row r="311" hidden="1"/>
    <row r="312" hidden="1"/>
    <row r="313" hidden="1" spans="3:28">
      <c r="C313" s="11" t="s">
        <v>318</v>
      </c>
      <c r="D313" s="11" t="s">
        <v>486</v>
      </c>
      <c r="E313" s="11" t="s">
        <v>72</v>
      </c>
      <c r="F313" s="11" t="s">
        <v>349</v>
      </c>
      <c r="G313" s="11" t="s">
        <v>350</v>
      </c>
      <c r="H313" s="11" t="s">
        <v>37</v>
      </c>
      <c r="I313" s="11" t="s">
        <v>321</v>
      </c>
      <c r="J313" s="11" t="s">
        <v>88</v>
      </c>
      <c r="K313" s="11" t="s">
        <v>322</v>
      </c>
      <c r="L313" s="11" t="s">
        <v>351</v>
      </c>
      <c r="M313" s="11" t="s">
        <v>487</v>
      </c>
      <c r="N313" s="11" t="s">
        <v>488</v>
      </c>
      <c r="O313" s="11" t="s">
        <v>489</v>
      </c>
      <c r="X313" s="11">
        <v>1353.50488</v>
      </c>
      <c r="Y313" s="11">
        <v>1439.321</v>
      </c>
      <c r="Z313" s="11">
        <v>1417.5954</v>
      </c>
      <c r="AA313" s="11">
        <v>1395.8698</v>
      </c>
      <c r="AB313" s="11">
        <v>1374.1442</v>
      </c>
    </row>
    <row r="314" hidden="1" spans="3:28">
      <c r="C314" s="11" t="s">
        <v>318</v>
      </c>
      <c r="D314" s="11" t="s">
        <v>490</v>
      </c>
      <c r="E314" s="11" t="s">
        <v>72</v>
      </c>
      <c r="F314" s="11" t="s">
        <v>349</v>
      </c>
      <c r="G314" s="11" t="s">
        <v>350</v>
      </c>
      <c r="H314" s="11" t="s">
        <v>37</v>
      </c>
      <c r="I314" s="11" t="s">
        <v>321</v>
      </c>
      <c r="J314" s="11" t="s">
        <v>88</v>
      </c>
      <c r="K314" s="11" t="s">
        <v>322</v>
      </c>
      <c r="L314" s="11" t="s">
        <v>351</v>
      </c>
      <c r="M314" s="11" t="s">
        <v>487</v>
      </c>
      <c r="N314" s="11" t="s">
        <v>491</v>
      </c>
      <c r="O314" s="11" t="s">
        <v>489</v>
      </c>
      <c r="X314" s="11">
        <v>1353.50488</v>
      </c>
      <c r="Y314" s="11">
        <v>1439.321</v>
      </c>
      <c r="Z314" s="11">
        <v>1395.8698</v>
      </c>
      <c r="AA314" s="11">
        <v>1352.4186</v>
      </c>
      <c r="AB314" s="11">
        <v>1307.88112</v>
      </c>
    </row>
    <row r="315" hidden="1" spans="3:28">
      <c r="C315" s="11" t="s">
        <v>318</v>
      </c>
      <c r="D315" s="11" t="s">
        <v>492</v>
      </c>
      <c r="E315" s="11" t="s">
        <v>72</v>
      </c>
      <c r="F315" s="11" t="s">
        <v>349</v>
      </c>
      <c r="G315" s="11" t="s">
        <v>350</v>
      </c>
      <c r="H315" s="11" t="s">
        <v>37</v>
      </c>
      <c r="I315" s="11" t="s">
        <v>321</v>
      </c>
      <c r="J315" s="11" t="s">
        <v>88</v>
      </c>
      <c r="K315" s="11" t="s">
        <v>322</v>
      </c>
      <c r="L315" s="11" t="s">
        <v>351</v>
      </c>
      <c r="M315" s="11" t="s">
        <v>487</v>
      </c>
      <c r="N315" s="11" t="s">
        <v>493</v>
      </c>
      <c r="O315" s="11" t="s">
        <v>489</v>
      </c>
      <c r="X315" s="11">
        <v>1353.50488</v>
      </c>
      <c r="Y315" s="11">
        <v>1439.321</v>
      </c>
      <c r="Z315" s="11">
        <v>1379.5756</v>
      </c>
      <c r="AA315" s="11">
        <v>1319.8302</v>
      </c>
      <c r="AB315" s="11">
        <v>1260.0848</v>
      </c>
    </row>
    <row r="316" hidden="1"/>
    <row r="317" hidden="1"/>
    <row r="318" hidden="1"/>
    <row r="319" hidden="1" spans="3:26">
      <c r="C319" s="11" t="s">
        <v>318</v>
      </c>
      <c r="D319" s="11" t="s">
        <v>494</v>
      </c>
      <c r="E319" s="11" t="s">
        <v>72</v>
      </c>
      <c r="F319" s="11" t="s">
        <v>349</v>
      </c>
      <c r="G319" s="11" t="s">
        <v>350</v>
      </c>
      <c r="H319" s="11" t="s">
        <v>37</v>
      </c>
      <c r="I319" s="11" t="s">
        <v>321</v>
      </c>
      <c r="J319" s="11" t="s">
        <v>88</v>
      </c>
      <c r="K319" s="11" t="s">
        <v>322</v>
      </c>
      <c r="L319" s="11" t="s">
        <v>351</v>
      </c>
      <c r="M319" s="11" t="s">
        <v>495</v>
      </c>
      <c r="O319" s="11" t="s">
        <v>496</v>
      </c>
      <c r="X319" s="11">
        <v>1268.2754</v>
      </c>
      <c r="Y319" s="11">
        <v>1029.1743</v>
      </c>
      <c r="Z319" s="11">
        <v>1206.94077</v>
      </c>
    </row>
    <row r="320" hidden="1"/>
    <row r="321" hidden="1" spans="3:23">
      <c r="C321" s="11" t="s">
        <v>318</v>
      </c>
      <c r="D321" s="11" t="s">
        <v>497</v>
      </c>
      <c r="E321" s="11" t="s">
        <v>87</v>
      </c>
      <c r="F321" s="11" t="s">
        <v>87</v>
      </c>
      <c r="I321" s="11" t="s">
        <v>321</v>
      </c>
      <c r="J321" s="11" t="s">
        <v>88</v>
      </c>
      <c r="K321" s="11" t="s">
        <v>322</v>
      </c>
      <c r="L321" s="11" t="s">
        <v>323</v>
      </c>
      <c r="M321" s="11" t="s">
        <v>498</v>
      </c>
      <c r="N321" s="11" t="s">
        <v>499</v>
      </c>
      <c r="O321" s="11" t="s">
        <v>500</v>
      </c>
      <c r="W321" s="11">
        <v>522.657</v>
      </c>
    </row>
    <row r="322" hidden="1" spans="3:23">
      <c r="C322" s="11" t="s">
        <v>318</v>
      </c>
      <c r="D322" s="11" t="s">
        <v>501</v>
      </c>
      <c r="E322" s="11" t="s">
        <v>87</v>
      </c>
      <c r="F322" s="11" t="s">
        <v>87</v>
      </c>
      <c r="I322" s="11" t="s">
        <v>321</v>
      </c>
      <c r="J322" s="11" t="s">
        <v>88</v>
      </c>
      <c r="K322" s="11" t="s">
        <v>322</v>
      </c>
      <c r="L322" s="11" t="s">
        <v>323</v>
      </c>
      <c r="M322" s="11" t="s">
        <v>498</v>
      </c>
      <c r="N322" s="11" t="s">
        <v>502</v>
      </c>
      <c r="O322" s="11" t="s">
        <v>500</v>
      </c>
      <c r="W322" s="11">
        <v>511.0424</v>
      </c>
    </row>
    <row r="323" hidden="1"/>
    <row r="324" hidden="1"/>
    <row r="325" hidden="1" spans="3:24">
      <c r="C325" s="11" t="s">
        <v>318</v>
      </c>
      <c r="D325" s="11" t="s">
        <v>503</v>
      </c>
      <c r="E325" s="11" t="s">
        <v>72</v>
      </c>
      <c r="F325" s="11" t="s">
        <v>349</v>
      </c>
      <c r="G325" s="11" t="s">
        <v>350</v>
      </c>
      <c r="H325" s="11" t="s">
        <v>37</v>
      </c>
      <c r="I325" s="11" t="s">
        <v>321</v>
      </c>
      <c r="J325" s="11" t="s">
        <v>88</v>
      </c>
      <c r="K325" s="11" t="s">
        <v>322</v>
      </c>
      <c r="L325" s="11" t="s">
        <v>504</v>
      </c>
      <c r="M325" s="11" t="s">
        <v>505</v>
      </c>
      <c r="O325" s="11" t="s">
        <v>489</v>
      </c>
      <c r="X325" s="11">
        <v>1441.49356</v>
      </c>
    </row>
    <row r="326" hidden="1" spans="3:25">
      <c r="C326" s="11" t="s">
        <v>318</v>
      </c>
      <c r="D326" s="11" t="s">
        <v>506</v>
      </c>
      <c r="E326" s="11" t="s">
        <v>72</v>
      </c>
      <c r="F326" s="11" t="s">
        <v>349</v>
      </c>
      <c r="G326" s="11" t="s">
        <v>350</v>
      </c>
      <c r="H326" s="11" t="s">
        <v>37</v>
      </c>
      <c r="I326" s="11" t="s">
        <v>321</v>
      </c>
      <c r="J326" s="11" t="s">
        <v>88</v>
      </c>
      <c r="K326" s="11" t="s">
        <v>322</v>
      </c>
      <c r="L326" s="11" t="s">
        <v>504</v>
      </c>
      <c r="M326" s="11" t="s">
        <v>507</v>
      </c>
      <c r="O326" s="11" t="s">
        <v>496</v>
      </c>
      <c r="Y326" s="11">
        <v>1505.29736</v>
      </c>
    </row>
    <row r="327" hidden="1"/>
    <row r="328" hidden="1"/>
    <row r="329" hidden="1"/>
    <row r="330" hidden="1"/>
    <row r="331" hidden="1" spans="3:24">
      <c r="C331" s="11" t="s">
        <v>318</v>
      </c>
      <c r="D331" s="11" t="s">
        <v>508</v>
      </c>
      <c r="E331" s="11" t="s">
        <v>72</v>
      </c>
      <c r="F331" s="11" t="s">
        <v>349</v>
      </c>
      <c r="G331" s="11" t="s">
        <v>350</v>
      </c>
      <c r="H331" s="11" t="s">
        <v>37</v>
      </c>
      <c r="I331" s="11" t="s">
        <v>321</v>
      </c>
      <c r="J331" s="11" t="s">
        <v>88</v>
      </c>
      <c r="K331" s="11" t="s">
        <v>322</v>
      </c>
      <c r="L331" s="11" t="s">
        <v>323</v>
      </c>
      <c r="M331" s="11" t="s">
        <v>505</v>
      </c>
      <c r="N331" s="11" t="s">
        <v>509</v>
      </c>
      <c r="O331" s="11" t="s">
        <v>489</v>
      </c>
      <c r="X331" s="11">
        <v>1898.81744</v>
      </c>
    </row>
    <row r="332" hidden="1" spans="3:25">
      <c r="C332" s="11" t="s">
        <v>318</v>
      </c>
      <c r="D332" s="11" t="s">
        <v>510</v>
      </c>
      <c r="E332" s="11" t="s">
        <v>72</v>
      </c>
      <c r="F332" s="11" t="s">
        <v>349</v>
      </c>
      <c r="G332" s="11" t="s">
        <v>350</v>
      </c>
      <c r="H332" s="11" t="s">
        <v>37</v>
      </c>
      <c r="I332" s="11" t="s">
        <v>321</v>
      </c>
      <c r="J332" s="11" t="s">
        <v>88</v>
      </c>
      <c r="K332" s="11" t="s">
        <v>322</v>
      </c>
      <c r="L332" s="11" t="s">
        <v>323</v>
      </c>
      <c r="M332" s="11" t="s">
        <v>507</v>
      </c>
      <c r="N332" s="11" t="s">
        <v>509</v>
      </c>
      <c r="O332" s="11" t="s">
        <v>496</v>
      </c>
      <c r="Y332" s="11">
        <v>1879.54256</v>
      </c>
    </row>
    <row r="333" hidden="1"/>
    <row r="334" hidden="1"/>
    <row r="335" hidden="1"/>
    <row r="336" hidden="1"/>
    <row r="337" hidden="1" spans="3:28">
      <c r="C337" s="11" t="s">
        <v>318</v>
      </c>
      <c r="D337" s="11" t="s">
        <v>511</v>
      </c>
      <c r="E337" s="11" t="s">
        <v>72</v>
      </c>
      <c r="F337" s="11" t="s">
        <v>72</v>
      </c>
      <c r="I337" s="11" t="s">
        <v>321</v>
      </c>
      <c r="J337" s="11" t="s">
        <v>88</v>
      </c>
      <c r="K337" s="11" t="s">
        <v>322</v>
      </c>
      <c r="L337" s="11" t="s">
        <v>323</v>
      </c>
      <c r="M337" s="11" t="s">
        <v>512</v>
      </c>
      <c r="O337" s="11" t="s">
        <v>355</v>
      </c>
      <c r="Y337" s="11">
        <v>1043.15640647</v>
      </c>
      <c r="Z337" s="11">
        <v>977.693268477</v>
      </c>
      <c r="AA337" s="11">
        <v>936.56791089</v>
      </c>
      <c r="AB337" s="11">
        <v>903.613231661</v>
      </c>
    </row>
    <row r="338" hidden="1" spans="3:28">
      <c r="C338" s="11" t="s">
        <v>318</v>
      </c>
      <c r="D338" s="11" t="s">
        <v>513</v>
      </c>
      <c r="E338" s="11" t="s">
        <v>69</v>
      </c>
      <c r="F338" s="11" t="s">
        <v>69</v>
      </c>
      <c r="I338" s="11" t="s">
        <v>321</v>
      </c>
      <c r="J338" s="11" t="s">
        <v>88</v>
      </c>
      <c r="K338" s="11" t="s">
        <v>322</v>
      </c>
      <c r="L338" s="11" t="s">
        <v>323</v>
      </c>
      <c r="M338" s="11" t="s">
        <v>512</v>
      </c>
      <c r="O338" s="11" t="s">
        <v>355</v>
      </c>
      <c r="Y338" s="11">
        <v>900.688942492</v>
      </c>
      <c r="Z338" s="11">
        <v>851.457051059</v>
      </c>
      <c r="AA338" s="11">
        <v>819.859340854</v>
      </c>
      <c r="AB338" s="11">
        <v>794.411488456</v>
      </c>
    </row>
    <row r="339" hidden="1" spans="3:28">
      <c r="C339" s="11" t="s">
        <v>318</v>
      </c>
      <c r="D339" s="11" t="s">
        <v>514</v>
      </c>
      <c r="E339" s="11" t="s">
        <v>38</v>
      </c>
      <c r="F339" s="11" t="s">
        <v>38</v>
      </c>
      <c r="I339" s="11" t="s">
        <v>321</v>
      </c>
      <c r="J339" s="11" t="s">
        <v>88</v>
      </c>
      <c r="K339" s="11" t="s">
        <v>322</v>
      </c>
      <c r="L339" s="11" t="s">
        <v>323</v>
      </c>
      <c r="M339" s="11" t="s">
        <v>512</v>
      </c>
      <c r="O339" s="11" t="s">
        <v>355</v>
      </c>
      <c r="Y339" s="11">
        <v>991.154722451</v>
      </c>
      <c r="Z339" s="11">
        <v>945.346622599</v>
      </c>
      <c r="AA339" s="11">
        <v>975.464610828</v>
      </c>
      <c r="AB339" s="11">
        <v>968.974072519</v>
      </c>
    </row>
    <row r="340" hidden="1" spans="3:28">
      <c r="C340" s="11" t="s">
        <v>318</v>
      </c>
      <c r="D340" s="11" t="s">
        <v>515</v>
      </c>
      <c r="E340" s="11" t="s">
        <v>12</v>
      </c>
      <c r="F340" s="11" t="s">
        <v>516</v>
      </c>
      <c r="I340" s="11" t="s">
        <v>321</v>
      </c>
      <c r="J340" s="11" t="s">
        <v>88</v>
      </c>
      <c r="K340" s="11" t="s">
        <v>322</v>
      </c>
      <c r="L340" s="11" t="s">
        <v>323</v>
      </c>
      <c r="M340" s="11" t="s">
        <v>512</v>
      </c>
      <c r="O340" s="11" t="s">
        <v>355</v>
      </c>
      <c r="Y340" s="11">
        <v>853.080454178</v>
      </c>
      <c r="Z340" s="11">
        <v>808.952419522</v>
      </c>
      <c r="AA340" s="11">
        <v>780.399678007</v>
      </c>
      <c r="AB340" s="11">
        <v>757.361258335</v>
      </c>
    </row>
    <row r="341" hidden="1" spans="3:28">
      <c r="C341" s="11" t="s">
        <v>318</v>
      </c>
      <c r="D341" s="11" t="s">
        <v>517</v>
      </c>
      <c r="E341" s="11" t="s">
        <v>76</v>
      </c>
      <c r="F341" s="11" t="s">
        <v>518</v>
      </c>
      <c r="G341" s="11" t="s">
        <v>117</v>
      </c>
      <c r="H341" s="11" t="s">
        <v>446</v>
      </c>
      <c r="I341" s="11" t="s">
        <v>321</v>
      </c>
      <c r="J341" s="11" t="s">
        <v>88</v>
      </c>
      <c r="K341" s="11" t="s">
        <v>322</v>
      </c>
      <c r="L341" s="11" t="s">
        <v>323</v>
      </c>
      <c r="M341" s="11" t="s">
        <v>512</v>
      </c>
      <c r="O341" s="11" t="s">
        <v>355</v>
      </c>
      <c r="Y341" s="11">
        <v>865.671554417</v>
      </c>
      <c r="Z341" s="11">
        <v>818.1412921</v>
      </c>
      <c r="AA341" s="11">
        <v>787.789251862</v>
      </c>
      <c r="AB341" s="11">
        <v>763.37444317</v>
      </c>
    </row>
    <row r="342" s="13" customFormat="1" spans="3:82">
      <c r="C342" s="11" t="s">
        <v>318</v>
      </c>
      <c r="D342" s="11" t="s">
        <v>519</v>
      </c>
      <c r="E342" s="11" t="s">
        <v>84</v>
      </c>
      <c r="F342" s="11" t="s">
        <v>10</v>
      </c>
      <c r="G342" s="11" t="s">
        <v>67</v>
      </c>
      <c r="H342" s="11" t="s">
        <v>419</v>
      </c>
      <c r="I342" s="11" t="s">
        <v>321</v>
      </c>
      <c r="J342" s="11" t="s">
        <v>88</v>
      </c>
      <c r="K342" s="11" t="s">
        <v>322</v>
      </c>
      <c r="L342" s="11" t="s">
        <v>323</v>
      </c>
      <c r="M342" s="11" t="s">
        <v>512</v>
      </c>
      <c r="N342" s="11"/>
      <c r="O342" s="11" t="s">
        <v>355</v>
      </c>
      <c r="P342" s="11"/>
      <c r="Q342" s="11"/>
      <c r="R342" s="11"/>
      <c r="S342" s="11"/>
      <c r="T342" s="11"/>
      <c r="U342" s="11"/>
      <c r="V342" s="11"/>
      <c r="W342" s="11"/>
      <c r="X342" s="11"/>
      <c r="Y342" s="11">
        <v>765.416545922</v>
      </c>
      <c r="Z342" s="11">
        <v>722.174660515</v>
      </c>
      <c r="AA342" s="11">
        <v>694.646657334</v>
      </c>
      <c r="AB342" s="11">
        <v>672.519206945</v>
      </c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</row>
    <row r="343" s="13" customFormat="1" spans="3:82">
      <c r="C343" s="11" t="s">
        <v>318</v>
      </c>
      <c r="D343" s="11" t="s">
        <v>520</v>
      </c>
      <c r="E343" s="11" t="s">
        <v>84</v>
      </c>
      <c r="F343" s="11" t="s">
        <v>11</v>
      </c>
      <c r="G343" s="11" t="s">
        <v>120</v>
      </c>
      <c r="H343" s="11" t="s">
        <v>367</v>
      </c>
      <c r="I343" s="11" t="s">
        <v>321</v>
      </c>
      <c r="J343" s="11" t="s">
        <v>88</v>
      </c>
      <c r="K343" s="11" t="s">
        <v>322</v>
      </c>
      <c r="L343" s="11" t="s">
        <v>323</v>
      </c>
      <c r="M343" s="11" t="s">
        <v>512</v>
      </c>
      <c r="N343" s="11"/>
      <c r="O343" s="11" t="s">
        <v>355</v>
      </c>
      <c r="P343" s="11"/>
      <c r="Q343" s="11"/>
      <c r="R343" s="11"/>
      <c r="S343" s="11"/>
      <c r="T343" s="11"/>
      <c r="U343" s="11"/>
      <c r="V343" s="11"/>
      <c r="W343" s="11"/>
      <c r="X343" s="11"/>
      <c r="Y343" s="11">
        <v>729.39687505</v>
      </c>
      <c r="Z343" s="11">
        <v>685.383611362</v>
      </c>
      <c r="AA343" s="11">
        <v>657.594206039</v>
      </c>
      <c r="AB343" s="11">
        <v>635.299485396</v>
      </c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</row>
    <row r="344" s="14" customFormat="1" spans="3:82">
      <c r="C344" s="22" t="s">
        <v>318</v>
      </c>
      <c r="D344" s="22" t="s">
        <v>521</v>
      </c>
      <c r="E344" s="22" t="s">
        <v>84</v>
      </c>
      <c r="F344" s="22" t="s">
        <v>522</v>
      </c>
      <c r="G344" s="22"/>
      <c r="H344" s="22"/>
      <c r="I344" s="22" t="s">
        <v>321</v>
      </c>
      <c r="J344" s="22" t="s">
        <v>88</v>
      </c>
      <c r="K344" s="22" t="s">
        <v>322</v>
      </c>
      <c r="L344" s="22" t="s">
        <v>323</v>
      </c>
      <c r="M344" s="22" t="s">
        <v>512</v>
      </c>
      <c r="N344" s="22"/>
      <c r="O344" s="11" t="s">
        <v>355</v>
      </c>
      <c r="P344" s="22"/>
      <c r="Q344" s="22"/>
      <c r="R344" s="22"/>
      <c r="S344" s="22"/>
      <c r="T344" s="22"/>
      <c r="U344" s="22"/>
      <c r="V344" s="22"/>
      <c r="W344" s="22"/>
      <c r="X344" s="22"/>
      <c r="Y344" s="22">
        <v>793.779544042</v>
      </c>
      <c r="Z344" s="22">
        <v>747.882464986</v>
      </c>
      <c r="AA344" s="22">
        <v>718.766859876</v>
      </c>
      <c r="AB344" s="22">
        <v>695.382604556</v>
      </c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</row>
    <row r="345" spans="3:28">
      <c r="C345" s="11" t="s">
        <v>318</v>
      </c>
      <c r="D345" s="11" t="s">
        <v>523</v>
      </c>
      <c r="E345" s="11" t="s">
        <v>84</v>
      </c>
      <c r="F345" s="11" t="s">
        <v>86</v>
      </c>
      <c r="I345" s="11" t="s">
        <v>321</v>
      </c>
      <c r="J345" s="11" t="s">
        <v>88</v>
      </c>
      <c r="K345" s="11" t="s">
        <v>322</v>
      </c>
      <c r="L345" s="11" t="s">
        <v>323</v>
      </c>
      <c r="M345" s="11" t="s">
        <v>512</v>
      </c>
      <c r="O345" s="11" t="s">
        <v>355</v>
      </c>
      <c r="Y345" s="11">
        <v>1001.76176557</v>
      </c>
      <c r="Z345" s="11">
        <v>953.356326034</v>
      </c>
      <c r="AA345" s="11">
        <v>922.20861766</v>
      </c>
      <c r="AB345" s="11">
        <v>897.11305177</v>
      </c>
    </row>
    <row r="346" hidden="1"/>
    <row r="347" hidden="1"/>
    <row r="348" hidden="1" spans="3:28">
      <c r="C348" s="11" t="s">
        <v>318</v>
      </c>
      <c r="D348" s="11" t="s">
        <v>524</v>
      </c>
      <c r="E348" s="11" t="s">
        <v>38</v>
      </c>
      <c r="F348" s="11" t="s">
        <v>6</v>
      </c>
      <c r="I348" s="11" t="s">
        <v>321</v>
      </c>
      <c r="J348" s="11" t="s">
        <v>88</v>
      </c>
      <c r="K348" s="11" t="s">
        <v>322</v>
      </c>
      <c r="L348" s="11" t="s">
        <v>323</v>
      </c>
      <c r="M348" s="11" t="s">
        <v>525</v>
      </c>
      <c r="N348" s="11" t="s">
        <v>526</v>
      </c>
      <c r="O348" s="11" t="s">
        <v>500</v>
      </c>
      <c r="AB348" s="11">
        <v>528.4643</v>
      </c>
    </row>
    <row r="349" hidden="1" spans="3:28">
      <c r="C349" s="11" t="s">
        <v>318</v>
      </c>
      <c r="D349" s="11" t="s">
        <v>527</v>
      </c>
      <c r="E349" s="11" t="s">
        <v>38</v>
      </c>
      <c r="F349" s="11" t="s">
        <v>6</v>
      </c>
      <c r="I349" s="11" t="s">
        <v>321</v>
      </c>
      <c r="J349" s="11" t="s">
        <v>88</v>
      </c>
      <c r="K349" s="11" t="s">
        <v>322</v>
      </c>
      <c r="L349" s="11" t="s">
        <v>323</v>
      </c>
      <c r="M349" s="11" t="s">
        <v>525</v>
      </c>
      <c r="N349" s="11" t="s">
        <v>528</v>
      </c>
      <c r="O349" s="11" t="s">
        <v>500</v>
      </c>
      <c r="AB349" s="11">
        <v>478.52152</v>
      </c>
    </row>
    <row r="350" hidden="1" spans="3:28">
      <c r="C350" s="11" t="s">
        <v>318</v>
      </c>
      <c r="D350" s="11" t="s">
        <v>529</v>
      </c>
      <c r="E350" s="11" t="s">
        <v>38</v>
      </c>
      <c r="F350" s="11" t="s">
        <v>6</v>
      </c>
      <c r="I350" s="11" t="s">
        <v>321</v>
      </c>
      <c r="J350" s="11" t="s">
        <v>88</v>
      </c>
      <c r="K350" s="11" t="s">
        <v>322</v>
      </c>
      <c r="L350" s="11" t="s">
        <v>323</v>
      </c>
      <c r="M350" s="11" t="s">
        <v>525</v>
      </c>
      <c r="N350" s="11" t="s">
        <v>530</v>
      </c>
      <c r="O350" s="11" t="s">
        <v>500</v>
      </c>
      <c r="AB350" s="11">
        <v>617.89672</v>
      </c>
    </row>
    <row r="351" hidden="1"/>
    <row r="352" hidden="1"/>
    <row r="353" hidden="1"/>
    <row r="354" hidden="1"/>
    <row r="355" hidden="1" spans="3:28">
      <c r="C355" s="11" t="s">
        <v>318</v>
      </c>
      <c r="D355" s="11" t="s">
        <v>531</v>
      </c>
      <c r="E355" s="11" t="s">
        <v>38</v>
      </c>
      <c r="F355" s="11" t="s">
        <v>6</v>
      </c>
      <c r="I355" s="11" t="s">
        <v>321</v>
      </c>
      <c r="J355" s="11" t="s">
        <v>88</v>
      </c>
      <c r="K355" s="11" t="s">
        <v>322</v>
      </c>
      <c r="L355" s="11" t="s">
        <v>25</v>
      </c>
      <c r="M355" s="11" t="s">
        <v>525</v>
      </c>
      <c r="N355" s="11" t="s">
        <v>526</v>
      </c>
      <c r="O355" s="11" t="s">
        <v>500</v>
      </c>
      <c r="AB355" s="11">
        <v>1161.46</v>
      </c>
    </row>
    <row r="356" hidden="1" spans="3:28">
      <c r="C356" s="11" t="s">
        <v>318</v>
      </c>
      <c r="D356" s="11" t="s">
        <v>532</v>
      </c>
      <c r="E356" s="11" t="s">
        <v>38</v>
      </c>
      <c r="F356" s="11" t="s">
        <v>6</v>
      </c>
      <c r="I356" s="11" t="s">
        <v>321</v>
      </c>
      <c r="J356" s="11" t="s">
        <v>88</v>
      </c>
      <c r="K356" s="11" t="s">
        <v>322</v>
      </c>
      <c r="L356" s="11" t="s">
        <v>25</v>
      </c>
      <c r="M356" s="11" t="s">
        <v>525</v>
      </c>
      <c r="N356" s="11" t="s">
        <v>528</v>
      </c>
      <c r="O356" s="11" t="s">
        <v>500</v>
      </c>
      <c r="AB356" s="11">
        <v>1049.95984</v>
      </c>
    </row>
    <row r="357" hidden="1" spans="3:28">
      <c r="C357" s="11" t="s">
        <v>318</v>
      </c>
      <c r="D357" s="11" t="s">
        <v>533</v>
      </c>
      <c r="E357" s="11" t="s">
        <v>38</v>
      </c>
      <c r="F357" s="11" t="s">
        <v>6</v>
      </c>
      <c r="I357" s="11" t="s">
        <v>321</v>
      </c>
      <c r="J357" s="11" t="s">
        <v>88</v>
      </c>
      <c r="K357" s="11" t="s">
        <v>322</v>
      </c>
      <c r="L357" s="11" t="s">
        <v>25</v>
      </c>
      <c r="M357" s="11" t="s">
        <v>525</v>
      </c>
      <c r="N357" s="11" t="s">
        <v>530</v>
      </c>
      <c r="O357" s="11" t="s">
        <v>500</v>
      </c>
      <c r="AB357" s="11">
        <v>1357.74674</v>
      </c>
    </row>
    <row r="358" hidden="1"/>
    <row r="359" hidden="1"/>
    <row r="360" hidden="1"/>
    <row r="361" hidden="1"/>
    <row r="362" hidden="1"/>
    <row r="363" hidden="1"/>
    <row r="364" hidden="1"/>
    <row r="365" hidden="1"/>
    <row r="366" hidden="1" spans="3:28">
      <c r="C366" s="11" t="s">
        <v>318</v>
      </c>
      <c r="D366" s="11" t="s">
        <v>534</v>
      </c>
      <c r="E366" s="11" t="s">
        <v>38</v>
      </c>
      <c r="F366" s="11" t="s">
        <v>45</v>
      </c>
      <c r="G366" s="11" t="s">
        <v>463</v>
      </c>
      <c r="H366" s="11" t="s">
        <v>464</v>
      </c>
      <c r="I366" s="11" t="s">
        <v>321</v>
      </c>
      <c r="J366" s="11" t="s">
        <v>88</v>
      </c>
      <c r="K366" s="11" t="s">
        <v>322</v>
      </c>
      <c r="L366" s="11" t="s">
        <v>403</v>
      </c>
      <c r="M366" s="11" t="s">
        <v>535</v>
      </c>
      <c r="N366" s="11" t="s">
        <v>536</v>
      </c>
      <c r="O366" s="11" t="s">
        <v>537</v>
      </c>
      <c r="AB366" s="11">
        <v>395.41678</v>
      </c>
    </row>
    <row r="367" hidden="1" spans="3:28">
      <c r="C367" s="11" t="s">
        <v>318</v>
      </c>
      <c r="D367" s="11" t="s">
        <v>538</v>
      </c>
      <c r="E367" s="11" t="s">
        <v>38</v>
      </c>
      <c r="F367" s="11" t="s">
        <v>45</v>
      </c>
      <c r="G367" s="11" t="s">
        <v>463</v>
      </c>
      <c r="H367" s="11" t="s">
        <v>464</v>
      </c>
      <c r="I367" s="11" t="s">
        <v>321</v>
      </c>
      <c r="J367" s="11" t="s">
        <v>88</v>
      </c>
      <c r="K367" s="11" t="s">
        <v>322</v>
      </c>
      <c r="L367" s="11" t="s">
        <v>403</v>
      </c>
      <c r="M367" s="11" t="s">
        <v>535</v>
      </c>
      <c r="N367" s="11" t="s">
        <v>536</v>
      </c>
      <c r="O367" s="11" t="s">
        <v>537</v>
      </c>
      <c r="AB367" s="11">
        <v>573.9921</v>
      </c>
    </row>
    <row r="368" hidden="1" spans="3:28">
      <c r="C368" s="11" t="s">
        <v>318</v>
      </c>
      <c r="D368" s="11" t="s">
        <v>539</v>
      </c>
      <c r="E368" s="11" t="s">
        <v>38</v>
      </c>
      <c r="F368" s="11" t="s">
        <v>45</v>
      </c>
      <c r="G368" s="11" t="s">
        <v>463</v>
      </c>
      <c r="H368" s="11" t="s">
        <v>464</v>
      </c>
      <c r="I368" s="11" t="s">
        <v>321</v>
      </c>
      <c r="J368" s="11" t="s">
        <v>88</v>
      </c>
      <c r="K368" s="11" t="s">
        <v>322</v>
      </c>
      <c r="L368" s="11" t="s">
        <v>403</v>
      </c>
      <c r="M368" s="11" t="s">
        <v>535</v>
      </c>
      <c r="N368" s="11" t="s">
        <v>536</v>
      </c>
      <c r="O368" s="11" t="s">
        <v>537</v>
      </c>
      <c r="AB368" s="11">
        <v>650.52438</v>
      </c>
    </row>
    <row r="369" hidden="1" spans="3:28">
      <c r="C369" s="11" t="s">
        <v>318</v>
      </c>
      <c r="D369" s="11" t="s">
        <v>540</v>
      </c>
      <c r="E369" s="11" t="s">
        <v>38</v>
      </c>
      <c r="F369" s="11" t="s">
        <v>45</v>
      </c>
      <c r="G369" s="11" t="s">
        <v>463</v>
      </c>
      <c r="H369" s="11" t="s">
        <v>464</v>
      </c>
      <c r="I369" s="11" t="s">
        <v>321</v>
      </c>
      <c r="J369" s="11" t="s">
        <v>88</v>
      </c>
      <c r="K369" s="11" t="s">
        <v>322</v>
      </c>
      <c r="L369" s="11" t="s">
        <v>403</v>
      </c>
      <c r="M369" s="11" t="s">
        <v>535</v>
      </c>
      <c r="N369" s="11" t="s">
        <v>541</v>
      </c>
      <c r="O369" s="11" t="s">
        <v>537</v>
      </c>
      <c r="AB369" s="11">
        <v>892.8766</v>
      </c>
    </row>
    <row r="370" hidden="1" spans="3:28">
      <c r="C370" s="11" t="s">
        <v>318</v>
      </c>
      <c r="D370" s="11" t="s">
        <v>542</v>
      </c>
      <c r="E370" s="11" t="s">
        <v>38</v>
      </c>
      <c r="F370" s="11" t="s">
        <v>45</v>
      </c>
      <c r="G370" s="11" t="s">
        <v>463</v>
      </c>
      <c r="H370" s="11" t="s">
        <v>464</v>
      </c>
      <c r="I370" s="11" t="s">
        <v>321</v>
      </c>
      <c r="J370" s="11" t="s">
        <v>88</v>
      </c>
      <c r="K370" s="11" t="s">
        <v>322</v>
      </c>
      <c r="L370" s="11" t="s">
        <v>403</v>
      </c>
      <c r="M370" s="11" t="s">
        <v>535</v>
      </c>
      <c r="N370" s="11" t="s">
        <v>541</v>
      </c>
      <c r="O370" s="11" t="s">
        <v>537</v>
      </c>
      <c r="AB370" s="11">
        <v>1275.538</v>
      </c>
    </row>
    <row r="371" hidden="1" spans="3:28">
      <c r="C371" s="11" t="s">
        <v>318</v>
      </c>
      <c r="D371" s="11" t="s">
        <v>543</v>
      </c>
      <c r="E371" s="11" t="s">
        <v>38</v>
      </c>
      <c r="F371" s="11" t="s">
        <v>45</v>
      </c>
      <c r="G371" s="11" t="s">
        <v>463</v>
      </c>
      <c r="H371" s="11" t="s">
        <v>464</v>
      </c>
      <c r="I371" s="11" t="s">
        <v>321</v>
      </c>
      <c r="J371" s="11" t="s">
        <v>88</v>
      </c>
      <c r="K371" s="11" t="s">
        <v>322</v>
      </c>
      <c r="L371" s="11" t="s">
        <v>403</v>
      </c>
      <c r="M371" s="11" t="s">
        <v>535</v>
      </c>
      <c r="N371" s="11" t="s">
        <v>541</v>
      </c>
      <c r="O371" s="11" t="s">
        <v>537</v>
      </c>
      <c r="AB371" s="11">
        <v>1530.6456</v>
      </c>
    </row>
    <row r="372" hidden="1" spans="3:28">
      <c r="C372" s="11" t="s">
        <v>318</v>
      </c>
      <c r="D372" s="11" t="s">
        <v>544</v>
      </c>
      <c r="E372" s="11" t="s">
        <v>38</v>
      </c>
      <c r="F372" s="11" t="s">
        <v>45</v>
      </c>
      <c r="G372" s="11" t="s">
        <v>463</v>
      </c>
      <c r="H372" s="11" t="s">
        <v>464</v>
      </c>
      <c r="I372" s="11" t="s">
        <v>321</v>
      </c>
      <c r="J372" s="11" t="s">
        <v>88</v>
      </c>
      <c r="K372" s="11" t="s">
        <v>322</v>
      </c>
      <c r="L372" s="11" t="s">
        <v>25</v>
      </c>
      <c r="M372" s="11" t="s">
        <v>535</v>
      </c>
      <c r="N372" s="11" t="s">
        <v>545</v>
      </c>
      <c r="O372" s="11" t="s">
        <v>537</v>
      </c>
      <c r="AB372" s="11">
        <v>1403.0918</v>
      </c>
    </row>
    <row r="373" hidden="1" spans="3:28">
      <c r="C373" s="11" t="s">
        <v>318</v>
      </c>
      <c r="D373" s="11" t="s">
        <v>546</v>
      </c>
      <c r="E373" s="11" t="s">
        <v>38</v>
      </c>
      <c r="F373" s="11" t="s">
        <v>45</v>
      </c>
      <c r="G373" s="11" t="s">
        <v>463</v>
      </c>
      <c r="H373" s="11" t="s">
        <v>464</v>
      </c>
      <c r="I373" s="11" t="s">
        <v>321</v>
      </c>
      <c r="J373" s="11" t="s">
        <v>88</v>
      </c>
      <c r="K373" s="11" t="s">
        <v>322</v>
      </c>
      <c r="L373" s="11" t="s">
        <v>25</v>
      </c>
      <c r="M373" s="11" t="s">
        <v>535</v>
      </c>
      <c r="N373" s="11" t="s">
        <v>545</v>
      </c>
      <c r="O373" s="11" t="s">
        <v>537</v>
      </c>
      <c r="AB373" s="11">
        <v>1785.7532</v>
      </c>
    </row>
    <row r="374" hidden="1" spans="3:28">
      <c r="C374" s="11" t="s">
        <v>318</v>
      </c>
      <c r="D374" s="11" t="s">
        <v>547</v>
      </c>
      <c r="E374" s="11" t="s">
        <v>38</v>
      </c>
      <c r="F374" s="11" t="s">
        <v>45</v>
      </c>
      <c r="G374" s="11" t="s">
        <v>463</v>
      </c>
      <c r="H374" s="11" t="s">
        <v>464</v>
      </c>
      <c r="I374" s="11" t="s">
        <v>321</v>
      </c>
      <c r="J374" s="11" t="s">
        <v>88</v>
      </c>
      <c r="K374" s="11" t="s">
        <v>322</v>
      </c>
      <c r="L374" s="11" t="s">
        <v>25</v>
      </c>
      <c r="M374" s="11" t="s">
        <v>535</v>
      </c>
      <c r="N374" s="11" t="s">
        <v>545</v>
      </c>
      <c r="O374" s="11" t="s">
        <v>537</v>
      </c>
      <c r="AB374" s="11">
        <v>2295.9684</v>
      </c>
    </row>
    <row r="375" hidden="1"/>
    <row r="376" hidden="1"/>
    <row r="377" hidden="1"/>
    <row r="378" hidden="1"/>
    <row r="379" hidden="1"/>
    <row r="380" hidden="1"/>
    <row r="381" hidden="1" spans="13:14">
      <c r="M381" s="11" t="s">
        <v>535</v>
      </c>
      <c r="N381" s="11" t="s">
        <v>536</v>
      </c>
    </row>
    <row r="382" hidden="1" spans="13:14">
      <c r="M382" s="11" t="s">
        <v>535</v>
      </c>
      <c r="N382" s="11" t="s">
        <v>541</v>
      </c>
    </row>
    <row r="383" hidden="1" spans="13:14">
      <c r="M383" s="11" t="s">
        <v>535</v>
      </c>
      <c r="N383" s="11" t="s">
        <v>545</v>
      </c>
    </row>
    <row r="384" hidden="1"/>
    <row r="385" hidden="1"/>
    <row r="386" s="15" customFormat="1" hidden="1" spans="3:82"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</row>
    <row r="387" s="16" customFormat="1" hidden="1" spans="3:82"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</row>
    <row r="388" s="16" customFormat="1" hidden="1" spans="3:82"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</row>
    <row r="389" s="16" customFormat="1" hidden="1" spans="3:82"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</row>
    <row r="390" s="16" customFormat="1" ht="39" hidden="1" customHeight="1" spans="3:82"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</row>
    <row r="391" hidden="1"/>
    <row r="392" hidden="1"/>
    <row r="393" hidden="1"/>
    <row r="394" hidden="1"/>
    <row r="395" s="17" customFormat="1" ht="26" hidden="1" spans="3:82">
      <c r="C395" s="23"/>
      <c r="D395" s="23"/>
      <c r="E395" s="23" t="s">
        <v>118</v>
      </c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 t="e">
        <f>AVERAGE(Q3:Q345)</f>
        <v>#DIV/0!</v>
      </c>
      <c r="R395" s="23">
        <f t="shared" ref="R395:AE395" si="0">AVERAGE(R3:R345)</f>
        <v>1704.83464416667</v>
      </c>
      <c r="S395" s="23">
        <f t="shared" si="0"/>
        <v>1986.77077083333</v>
      </c>
      <c r="T395" s="23">
        <f t="shared" si="0"/>
        <v>1692.52040285714</v>
      </c>
      <c r="U395" s="23">
        <f t="shared" si="0"/>
        <v>1435.66541083333</v>
      </c>
      <c r="V395" s="23">
        <f t="shared" si="0"/>
        <v>1631.89840263158</v>
      </c>
      <c r="W395" s="23">
        <f t="shared" si="0"/>
        <v>879.30658</v>
      </c>
      <c r="X395" s="23">
        <f t="shared" si="0"/>
        <v>1273.07618</v>
      </c>
      <c r="Y395" s="23">
        <f t="shared" si="0"/>
        <v>1098.66171281067</v>
      </c>
      <c r="Z395" s="23">
        <f t="shared" si="0"/>
        <v>1025.09831592522</v>
      </c>
      <c r="AA395" s="23">
        <f t="shared" si="0"/>
        <v>943.881815556667</v>
      </c>
      <c r="AB395" s="23">
        <f t="shared" si="0"/>
        <v>1042.86225007389</v>
      </c>
      <c r="AC395" s="23">
        <f t="shared" si="0"/>
        <v>633.549625</v>
      </c>
      <c r="AD395" s="23">
        <f t="shared" si="0"/>
        <v>432.346675</v>
      </c>
      <c r="AE395" s="23">
        <f t="shared" si="0"/>
        <v>354.817</v>
      </c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</row>
    <row r="396" s="17" customFormat="1" ht="26" hidden="1" spans="3:82">
      <c r="C396" s="23"/>
      <c r="D396" s="23"/>
      <c r="E396" s="23" t="s">
        <v>548</v>
      </c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 t="e">
        <f>AVERAGE(Q66:Q350,Q366:Q371)</f>
        <v>#DIV/0!</v>
      </c>
      <c r="R396" s="23">
        <f t="shared" ref="R396:AE396" si="1">AVERAGE(R66:R350,R366:R371)</f>
        <v>1704.83464416667</v>
      </c>
      <c r="S396" s="23">
        <f t="shared" si="1"/>
        <v>1986.77077083333</v>
      </c>
      <c r="T396" s="23">
        <f t="shared" si="1"/>
        <v>1763.94798666667</v>
      </c>
      <c r="U396" s="23">
        <f t="shared" si="1"/>
        <v>1435.66541083333</v>
      </c>
      <c r="V396" s="23">
        <f t="shared" si="1"/>
        <v>1030.34105</v>
      </c>
      <c r="W396" s="23">
        <f t="shared" si="1"/>
        <v>902.449533636364</v>
      </c>
      <c r="X396" s="23">
        <f t="shared" si="1"/>
        <v>1273.07618</v>
      </c>
      <c r="Y396" s="23">
        <f t="shared" si="1"/>
        <v>1111.7389353728</v>
      </c>
      <c r="Z396" s="23">
        <f t="shared" si="1"/>
        <v>997.169234761</v>
      </c>
      <c r="AA396" s="23">
        <f t="shared" si="1"/>
        <v>946.784644445833</v>
      </c>
      <c r="AB396" s="23">
        <f t="shared" si="1"/>
        <v>1002.45020936763</v>
      </c>
      <c r="AC396" s="23" t="e">
        <f t="shared" si="1"/>
        <v>#DIV/0!</v>
      </c>
      <c r="AD396" s="23" t="e">
        <f t="shared" si="1"/>
        <v>#DIV/0!</v>
      </c>
      <c r="AE396" s="23" t="e">
        <f t="shared" si="1"/>
        <v>#DIV/0!</v>
      </c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</row>
    <row r="397" s="17" customFormat="1" ht="26" hidden="1" spans="3:82">
      <c r="C397" s="23"/>
      <c r="D397" s="23"/>
      <c r="E397" s="23" t="s">
        <v>549</v>
      </c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 t="e">
        <f>AVERAGE(Q355:Q357,Q372:Q374)</f>
        <v>#DIV/0!</v>
      </c>
      <c r="R397" s="23" t="e">
        <f t="shared" ref="R397:AE397" si="2">AVERAGE(R355:R357,R372:R374)</f>
        <v>#DIV/0!</v>
      </c>
      <c r="S397" s="23" t="e">
        <f t="shared" si="2"/>
        <v>#DIV/0!</v>
      </c>
      <c r="T397" s="23" t="e">
        <f t="shared" si="2"/>
        <v>#DIV/0!</v>
      </c>
      <c r="U397" s="23" t="e">
        <f t="shared" si="2"/>
        <v>#DIV/0!</v>
      </c>
      <c r="V397" s="23" t="e">
        <f t="shared" si="2"/>
        <v>#DIV/0!</v>
      </c>
      <c r="W397" s="23" t="e">
        <f t="shared" si="2"/>
        <v>#DIV/0!</v>
      </c>
      <c r="X397" s="23" t="e">
        <f t="shared" si="2"/>
        <v>#DIV/0!</v>
      </c>
      <c r="Y397" s="23" t="e">
        <f t="shared" si="2"/>
        <v>#DIV/0!</v>
      </c>
      <c r="Z397" s="23" t="e">
        <f t="shared" si="2"/>
        <v>#DIV/0!</v>
      </c>
      <c r="AA397" s="23" t="e">
        <f t="shared" si="2"/>
        <v>#DIV/0!</v>
      </c>
      <c r="AB397" s="23">
        <f t="shared" si="2"/>
        <v>1508.99666333333</v>
      </c>
      <c r="AC397" s="23" t="e">
        <f t="shared" si="2"/>
        <v>#DIV/0!</v>
      </c>
      <c r="AD397" s="23" t="e">
        <f t="shared" si="2"/>
        <v>#DIV/0!</v>
      </c>
      <c r="AE397" s="23" t="e">
        <f t="shared" si="2"/>
        <v>#DIV/0!</v>
      </c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</row>
    <row r="398" s="17" customFormat="1" ht="26" hidden="1" spans="3:82">
      <c r="C398" s="23"/>
      <c r="D398" s="23"/>
      <c r="E398" s="23" t="s">
        <v>76</v>
      </c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 t="e">
        <f>AVERAGE(Q169:Q341)</f>
        <v>#DIV/0!</v>
      </c>
      <c r="R398" s="23" t="e">
        <f t="shared" ref="R398:AE398" si="3">AVERAGE(R169:R341)</f>
        <v>#DIV/0!</v>
      </c>
      <c r="S398" s="23" t="e">
        <f t="shared" si="3"/>
        <v>#DIV/0!</v>
      </c>
      <c r="T398" s="23" t="e">
        <f t="shared" si="3"/>
        <v>#DIV/0!</v>
      </c>
      <c r="U398" s="23" t="e">
        <f t="shared" si="3"/>
        <v>#DIV/0!</v>
      </c>
      <c r="V398" s="23" t="e">
        <f t="shared" si="3"/>
        <v>#DIV/0!</v>
      </c>
      <c r="W398" s="23">
        <f t="shared" si="3"/>
        <v>516.8497</v>
      </c>
      <c r="X398" s="23">
        <f t="shared" si="3"/>
        <v>1444.85017333333</v>
      </c>
      <c r="Y398" s="23">
        <f t="shared" si="3"/>
        <v>1216.88448181891</v>
      </c>
      <c r="Z398" s="23">
        <f t="shared" si="3"/>
        <v>1085.1572223757</v>
      </c>
      <c r="AA398" s="23">
        <f t="shared" si="3"/>
        <v>1046.02492405512</v>
      </c>
      <c r="AB398" s="23">
        <f t="shared" si="3"/>
        <v>1016.23057676763</v>
      </c>
      <c r="AC398" s="23" t="e">
        <f t="shared" si="3"/>
        <v>#DIV/0!</v>
      </c>
      <c r="AD398" s="23" t="e">
        <f t="shared" si="3"/>
        <v>#DIV/0!</v>
      </c>
      <c r="AE398" s="23" t="e">
        <f t="shared" si="3"/>
        <v>#DIV/0!</v>
      </c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</row>
    <row r="399" s="17" customFormat="1" ht="26" hidden="1" spans="3:82">
      <c r="C399" s="23"/>
      <c r="D399" s="23"/>
      <c r="E399" s="23" t="s">
        <v>116</v>
      </c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 t="e">
        <f>AVERAGE(Q15:Q337)</f>
        <v>#DIV/0!</v>
      </c>
      <c r="R399" s="23">
        <f t="shared" ref="R399:AE399" si="4">AVERAGE(R15:R337)</f>
        <v>1704.83464416667</v>
      </c>
      <c r="S399" s="23">
        <f t="shared" si="4"/>
        <v>1986.77077083333</v>
      </c>
      <c r="T399" s="23">
        <f t="shared" si="4"/>
        <v>1692.52040285714</v>
      </c>
      <c r="U399" s="23">
        <f t="shared" si="4"/>
        <v>1435.66541083333</v>
      </c>
      <c r="V399" s="23">
        <f t="shared" si="4"/>
        <v>1074.389205</v>
      </c>
      <c r="W399" s="23">
        <f t="shared" si="4"/>
        <v>879.30658</v>
      </c>
      <c r="X399" s="23">
        <f t="shared" si="4"/>
        <v>1273.07618</v>
      </c>
      <c r="Y399" s="23">
        <f t="shared" si="4"/>
        <v>1287.496042647</v>
      </c>
      <c r="Z399" s="23">
        <f t="shared" si="4"/>
        <v>1191.9075238477</v>
      </c>
      <c r="AA399" s="23">
        <f t="shared" si="4"/>
        <v>1114.49971584143</v>
      </c>
      <c r="AB399" s="23">
        <f t="shared" si="4"/>
        <v>1114.8109963887</v>
      </c>
      <c r="AC399" s="23">
        <f t="shared" si="4"/>
        <v>633.549625</v>
      </c>
      <c r="AD399" s="23">
        <f t="shared" si="4"/>
        <v>432.346675</v>
      </c>
      <c r="AE399" s="23">
        <f t="shared" si="4"/>
        <v>354.817</v>
      </c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</row>
    <row r="400" s="17" customFormat="1" ht="26" hidden="1" spans="3:82">
      <c r="C400" s="23"/>
      <c r="D400" s="23"/>
      <c r="E400" s="23" t="s">
        <v>114</v>
      </c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 t="e">
        <f>AVERAGE(Q134:Q338)</f>
        <v>#DIV/0!</v>
      </c>
      <c r="R400" s="23">
        <f t="shared" ref="R400:AE400" si="5">AVERAGE(R134:R338)</f>
        <v>1959.7363825</v>
      </c>
      <c r="S400" s="23">
        <f t="shared" si="5"/>
        <v>1772.68739375</v>
      </c>
      <c r="T400" s="23">
        <f t="shared" si="5"/>
        <v>1576.174535</v>
      </c>
      <c r="U400" s="23">
        <f t="shared" si="5"/>
        <v>1305.8489925</v>
      </c>
      <c r="V400" s="23">
        <f t="shared" si="5"/>
        <v>1056.432</v>
      </c>
      <c r="W400" s="23">
        <f t="shared" si="5"/>
        <v>516.8497</v>
      </c>
      <c r="X400" s="23">
        <f t="shared" si="5"/>
        <v>1444.85017333333</v>
      </c>
      <c r="Y400" s="23">
        <f t="shared" si="5"/>
        <v>1334.47782112025</v>
      </c>
      <c r="Z400" s="23">
        <f t="shared" si="5"/>
        <v>1182.73312707657</v>
      </c>
      <c r="AA400" s="23">
        <f t="shared" si="5"/>
        <v>1164.9091703488</v>
      </c>
      <c r="AB400" s="23">
        <f t="shared" si="5"/>
        <v>1139.68366222656</v>
      </c>
      <c r="AC400" s="23" t="e">
        <f t="shared" si="5"/>
        <v>#DIV/0!</v>
      </c>
      <c r="AD400" s="23" t="e">
        <f t="shared" si="5"/>
        <v>#DIV/0!</v>
      </c>
      <c r="AE400" s="23" t="e">
        <f t="shared" si="5"/>
        <v>#DIV/0!</v>
      </c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</row>
    <row r="401" s="17" customFormat="1" ht="26" hidden="1" spans="3:82">
      <c r="C401" s="23"/>
      <c r="D401" s="23"/>
      <c r="E401" s="23" t="s">
        <v>87</v>
      </c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 t="e">
        <f>AVERAGE(Q76:Q322)</f>
        <v>#DIV/0!</v>
      </c>
      <c r="R401" s="23">
        <f t="shared" ref="R401:AE401" si="6">AVERAGE(R76:R322)</f>
        <v>1704.83464416667</v>
      </c>
      <c r="S401" s="23">
        <f t="shared" si="6"/>
        <v>1986.77077083333</v>
      </c>
      <c r="T401" s="23">
        <f t="shared" si="6"/>
        <v>1763.94798666667</v>
      </c>
      <c r="U401" s="23">
        <f t="shared" si="6"/>
        <v>1435.66541083333</v>
      </c>
      <c r="V401" s="23">
        <f t="shared" si="6"/>
        <v>1151.80433333333</v>
      </c>
      <c r="W401" s="23">
        <f t="shared" si="6"/>
        <v>918.0296</v>
      </c>
      <c r="X401" s="23">
        <f t="shared" si="6"/>
        <v>1140.71640666667</v>
      </c>
      <c r="Y401" s="23">
        <f t="shared" si="6"/>
        <v>1336.784325</v>
      </c>
      <c r="Z401" s="23">
        <f t="shared" si="6"/>
        <v>1289.996314</v>
      </c>
      <c r="AA401" s="23">
        <f t="shared" si="6"/>
        <v>1356.03953333333</v>
      </c>
      <c r="AB401" s="23">
        <f t="shared" si="6"/>
        <v>1162.9373664</v>
      </c>
      <c r="AC401" s="23" t="e">
        <f t="shared" si="6"/>
        <v>#DIV/0!</v>
      </c>
      <c r="AD401" s="23" t="e">
        <f t="shared" si="6"/>
        <v>#DIV/0!</v>
      </c>
      <c r="AE401" s="23" t="e">
        <f t="shared" si="6"/>
        <v>#DIV/0!</v>
      </c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</row>
  </sheetData>
  <autoFilter xmlns:etc="http://www.wps.cn/officeDocument/2017/etCustomData" ref="E1:E401" etc:filterBottomFollowUsedRange="0">
    <filterColumn colId="0">
      <customFilters>
        <customFilter operator="equal" val="Asia"/>
      </customFilters>
    </filterColumn>
    <extLst/>
  </autoFilter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workbookViewId="0">
      <selection activeCell="A16" sqref="A16"/>
    </sheetView>
  </sheetViews>
  <sheetFormatPr defaultColWidth="8.72727272727273" defaultRowHeight="14.5"/>
  <cols>
    <col min="1" max="1" width="78.1818181818182" customWidth="1"/>
  </cols>
  <sheetData>
    <row r="1" ht="23.5" spans="1:1">
      <c r="A1" s="10" t="s">
        <v>550</v>
      </c>
    </row>
    <row r="4" spans="3:18">
      <c r="C4" s="11" t="s">
        <v>551</v>
      </c>
      <c r="D4" s="12">
        <v>2014</v>
      </c>
      <c r="E4" s="12">
        <v>2015</v>
      </c>
      <c r="F4" s="12">
        <v>2016</v>
      </c>
      <c r="G4" s="12">
        <v>2017</v>
      </c>
      <c r="H4" s="12">
        <v>2018</v>
      </c>
      <c r="I4" s="12">
        <v>2019</v>
      </c>
      <c r="J4" s="12">
        <v>2020</v>
      </c>
      <c r="K4" s="12">
        <v>2021</v>
      </c>
      <c r="L4" s="12">
        <v>2022</v>
      </c>
      <c r="M4" s="12">
        <v>2023</v>
      </c>
      <c r="N4" s="12">
        <v>2024</v>
      </c>
      <c r="O4" s="12">
        <v>2025</v>
      </c>
      <c r="P4" s="12">
        <v>2030</v>
      </c>
      <c r="Q4" s="12">
        <v>2040</v>
      </c>
      <c r="R4" s="12">
        <v>2050</v>
      </c>
    </row>
    <row r="5" spans="3:18">
      <c r="C5" s="11" t="s">
        <v>87</v>
      </c>
      <c r="D5" s="11"/>
      <c r="E5" s="11">
        <f>[1]Global!Q12</f>
        <v>1342.4006</v>
      </c>
      <c r="F5" s="11"/>
      <c r="G5" s="11"/>
      <c r="H5" s="11"/>
      <c r="I5" s="11"/>
      <c r="J5" s="11">
        <f>[1]Global!V12</f>
        <v>918.0296</v>
      </c>
      <c r="K5" s="11"/>
      <c r="L5" s="11"/>
      <c r="M5" s="11"/>
      <c r="N5" s="11"/>
      <c r="O5" s="11"/>
      <c r="P5" s="11"/>
      <c r="Q5" s="11"/>
      <c r="R5" s="11"/>
    </row>
    <row r="6" spans="3:18">
      <c r="C6" s="11" t="s">
        <v>552</v>
      </c>
      <c r="D6" s="11"/>
      <c r="E6" s="11"/>
      <c r="F6" s="11"/>
      <c r="G6" s="11"/>
      <c r="H6" s="11"/>
      <c r="I6" s="11"/>
      <c r="J6" s="11">
        <f>'[1]EU27'!V13</f>
        <v>860.90269</v>
      </c>
      <c r="K6" s="11"/>
      <c r="L6" s="11"/>
      <c r="M6" s="11"/>
      <c r="N6" s="11"/>
      <c r="O6" s="11">
        <f>'[1]EU27'!AA13</f>
        <v>541.627513333333</v>
      </c>
      <c r="P6" s="11"/>
      <c r="Q6" s="11"/>
      <c r="R6" s="11"/>
    </row>
    <row r="7" spans="3:18">
      <c r="C7" s="11" t="s">
        <v>553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>
        <f>'[1]EU27'!AA14</f>
        <v>1189.72219333333</v>
      </c>
      <c r="P7" s="11"/>
      <c r="Q7" s="11"/>
      <c r="R7" s="11"/>
    </row>
    <row r="8" spans="3:18">
      <c r="C8" s="11" t="s">
        <v>37</v>
      </c>
      <c r="D8" s="11"/>
      <c r="E8" s="11"/>
      <c r="F8" s="11"/>
      <c r="G8" s="11"/>
      <c r="H8" s="11"/>
      <c r="I8" s="11">
        <f>'[1]Refined_USA(exclude used data)'!U23</f>
        <v>1470.8226</v>
      </c>
      <c r="J8" s="11"/>
      <c r="K8" s="11">
        <f>'[1]Refined_USA(exclude used data)'!W23</f>
        <v>1444.85017333333</v>
      </c>
      <c r="L8" s="11">
        <f>'[1]Refined_USA(exclude used data)'!X23</f>
        <v>1455.32953666667</v>
      </c>
      <c r="M8" s="11">
        <f>'[1]Refined_USA(exclude used data)'!Y23</f>
        <v>1325.33026166667</v>
      </c>
      <c r="N8" s="11">
        <f>'[1]Refined_USA(exclude used data)'!Z23</f>
        <v>1356.03953333333</v>
      </c>
      <c r="O8" s="11">
        <f>'[1]Refined_USA(exclude used data)'!AA23</f>
        <v>1314.03670666667</v>
      </c>
      <c r="P8" s="11"/>
      <c r="Q8" s="11"/>
      <c r="R8" s="11"/>
    </row>
    <row r="9" spans="3:18">
      <c r="C9" s="11" t="s">
        <v>11</v>
      </c>
      <c r="D9" s="11"/>
      <c r="E9" s="11"/>
      <c r="F9" s="11"/>
      <c r="G9" s="11"/>
      <c r="H9" s="11"/>
      <c r="I9" s="11"/>
      <c r="J9" s="11">
        <f>[1]IN!V6</f>
        <v>609.1165</v>
      </c>
      <c r="K9" s="11"/>
      <c r="L9" s="11">
        <f>[1]IN!X6</f>
        <v>729.39687505</v>
      </c>
      <c r="M9" s="11">
        <f>[1]IN!Y6</f>
        <v>685.383611362</v>
      </c>
      <c r="N9" s="11">
        <f>[1]IN!Z6</f>
        <v>657.594206039</v>
      </c>
      <c r="O9" s="11">
        <f>[1]IN!AA6</f>
        <v>635.299485396</v>
      </c>
      <c r="P9" s="11">
        <f>[1]IN!AB6</f>
        <v>430.8385</v>
      </c>
      <c r="Q9" s="11">
        <f>[1]IN!AC6</f>
        <v>297.13</v>
      </c>
      <c r="R9" s="11">
        <f>[1]IN!AD6</f>
        <v>252.5605</v>
      </c>
    </row>
    <row r="10" spans="3:18">
      <c r="C10" s="11" t="s">
        <v>10</v>
      </c>
      <c r="D10" s="11"/>
      <c r="E10" s="11"/>
      <c r="F10" s="11"/>
      <c r="G10" s="11"/>
      <c r="H10" s="11"/>
      <c r="I10" s="11"/>
      <c r="J10" s="11"/>
      <c r="K10" s="11"/>
      <c r="L10" s="11">
        <f>[1]CN!X5</f>
        <v>765.416545922</v>
      </c>
      <c r="M10" s="11">
        <f>[1]CN!Y5</f>
        <v>722.174660515</v>
      </c>
      <c r="N10" s="11">
        <f>[1]CN!Z5</f>
        <v>694.646657334</v>
      </c>
      <c r="O10" s="11">
        <f>[1]CN!AA5</f>
        <v>672.519206945</v>
      </c>
      <c r="P10" s="11"/>
      <c r="Q10" s="11"/>
      <c r="R10" s="11"/>
    </row>
    <row r="11" spans="3:18">
      <c r="C11" s="11" t="s">
        <v>554</v>
      </c>
      <c r="D11" s="11"/>
      <c r="E11" s="11"/>
      <c r="F11" s="11"/>
      <c r="G11" s="11">
        <f>'[1]Africa-SouthAfrica'!S5</f>
        <v>1263.9549</v>
      </c>
      <c r="H11" s="11"/>
      <c r="I11" s="11"/>
      <c r="J11" s="11">
        <f>'[1]Africa-SouthAfrica'!V5</f>
        <v>894.92417</v>
      </c>
      <c r="K11" s="11"/>
      <c r="L11" s="11"/>
      <c r="M11" s="11"/>
      <c r="N11" s="11"/>
      <c r="O11" s="11">
        <f>'[1]Africa-SouthAfrica'!AA5</f>
        <v>840.0544</v>
      </c>
      <c r="P11" s="11"/>
      <c r="Q11" s="11"/>
      <c r="R11" s="1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0" sqref="D20"/>
    </sheetView>
  </sheetViews>
  <sheetFormatPr defaultColWidth="8.72727272727273" defaultRowHeight="14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9:C31"/>
  <sheetViews>
    <sheetView topLeftCell="A8" workbookViewId="0">
      <selection activeCell="C9" sqref="C9:C31"/>
    </sheetView>
  </sheetViews>
  <sheetFormatPr defaultColWidth="8.72727272727273" defaultRowHeight="14.5" outlineLevelCol="2"/>
  <cols>
    <col min="3" max="3" width="15.6363636363636" customWidth="1"/>
  </cols>
  <sheetData>
    <row r="9" spans="3:3">
      <c r="C9" s="1" t="s">
        <v>42</v>
      </c>
    </row>
    <row r="10" spans="3:3">
      <c r="C10" s="2" t="s">
        <v>43</v>
      </c>
    </row>
    <row r="11" spans="3:3">
      <c r="C11" s="3" t="s">
        <v>44</v>
      </c>
    </row>
    <row r="12" spans="3:3">
      <c r="C12" s="470" t="s">
        <v>45</v>
      </c>
    </row>
    <row r="13" spans="3:3">
      <c r="C13" s="5" t="s">
        <v>46</v>
      </c>
    </row>
    <row r="14" spans="3:3">
      <c r="C14" s="3" t="s">
        <v>47</v>
      </c>
    </row>
    <row r="15" spans="3:3">
      <c r="C15" s="470" t="s">
        <v>49</v>
      </c>
    </row>
    <row r="16" spans="3:3">
      <c r="C16" s="473" t="s">
        <v>50</v>
      </c>
    </row>
    <row r="17" spans="3:3">
      <c r="C17" s="479" t="s">
        <v>51</v>
      </c>
    </row>
    <row r="18" spans="3:3">
      <c r="C18" s="475" t="s">
        <v>52</v>
      </c>
    </row>
    <row r="19" spans="3:3">
      <c r="C19" s="475" t="s">
        <v>53</v>
      </c>
    </row>
    <row r="20" spans="3:3">
      <c r="C20" s="480" t="s">
        <v>54</v>
      </c>
    </row>
    <row r="21" spans="3:3">
      <c r="C21" s="475" t="s">
        <v>55</v>
      </c>
    </row>
    <row r="22" spans="3:3">
      <c r="C22" s="480" t="s">
        <v>71</v>
      </c>
    </row>
    <row r="23" spans="3:3">
      <c r="C23" s="475" t="s">
        <v>56</v>
      </c>
    </row>
    <row r="24" spans="3:3">
      <c r="C24" s="475" t="s">
        <v>57</v>
      </c>
    </row>
    <row r="25" spans="3:3">
      <c r="C25" s="475" t="s">
        <v>58</v>
      </c>
    </row>
    <row r="26" spans="3:3">
      <c r="C26" s="480" t="s">
        <v>59</v>
      </c>
    </row>
    <row r="27" spans="3:3">
      <c r="C27" s="9" t="s">
        <v>60</v>
      </c>
    </row>
    <row r="28" spans="3:3">
      <c r="C28" s="475" t="s">
        <v>61</v>
      </c>
    </row>
    <row r="29" spans="3:3">
      <c r="C29" s="9" t="s">
        <v>62</v>
      </c>
    </row>
    <row r="30" spans="3:3">
      <c r="C30" s="475" t="s">
        <v>63</v>
      </c>
    </row>
    <row r="31" spans="3:3">
      <c r="C31" s="475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NOUSELCOE_Expand_toAPS</vt:lpstr>
      <vt:lpstr>NOUSE</vt:lpstr>
      <vt:lpstr>Summari-ForCount (2030)</vt:lpstr>
      <vt:lpstr>Summari-ForCount (Current&amp;2050)</vt:lpstr>
      <vt:lpstr>Summarize-ForReg(2030)</vt:lpstr>
      <vt:lpstr>Summarize-ForReg(Current&amp;2050)</vt:lpstr>
      <vt:lpstr>Attached_WEO2023</vt:lpstr>
      <vt:lpstr>Attached-IRENA2024 report</vt:lpstr>
      <vt:lpstr>Attached-IEA2020Projected Costs</vt:lpstr>
      <vt:lpstr>Attached-DIB_GNESTE_Solar_Power</vt:lpstr>
      <vt:lpstr>NOUSEAttach-GNESTE-solar_power</vt:lpstr>
      <vt:lpstr>OthersRegion_areAvai_inWEO2024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xli9</cp:lastModifiedBy>
  <dcterms:created xsi:type="dcterms:W3CDTF">2024-11-18T16:21:00Z</dcterms:created>
  <dcterms:modified xsi:type="dcterms:W3CDTF">2025-09-03T21:05:34Z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A77436C510D448EBA1363E2E2AD4F62F_12</vt:lpwstr>
  </property>
  <property fmtid="{D5CDD505-2E9C-101B-9397-08002B2CF9AE}" pid="3" name="KSOProductBuildVer">
    <vt:lpwstr>1033-12.2.0.22549</vt:lpwstr>
  </property>
</Properties>
</file>